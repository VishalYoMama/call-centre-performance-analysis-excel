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hidePivotFieldList="1"/>
  <mc:AlternateContent xmlns:mc="http://schemas.openxmlformats.org/markup-compatibility/2006">
    <mc:Choice Requires="x15">
      <x15ac:absPath xmlns:x15ac="http://schemas.microsoft.com/office/spreadsheetml/2010/11/ac" url="C:\Users\visha\Downloads\"/>
    </mc:Choice>
  </mc:AlternateContent>
  <xr:revisionPtr revIDLastSave="0" documentId="8_{FD63781C-22EC-4C85-A475-CB85AB04C798}" xr6:coauthVersionLast="47" xr6:coauthVersionMax="47" xr10:uidLastSave="{00000000-0000-0000-0000-000000000000}"/>
  <bookViews>
    <workbookView xWindow="-108" yWindow="-108" windowWidth="23256" windowHeight="12456" activeTab="2" xr2:uid="{26D4546B-D2A1-4444-8EAF-A6228F96F0C1}"/>
  </bookViews>
  <sheets>
    <sheet name="Data" sheetId="2" r:id="rId1"/>
    <sheet name="Pivots" sheetId="7" r:id="rId2"/>
    <sheet name="Customer care report" sheetId="5" r:id="rId3"/>
    <sheet name="Assets" sheetId="4" r:id="rId4"/>
  </sheets>
  <definedNames>
    <definedName name="_xlnm._FilterDatabase" localSheetId="0"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10" r:id="rId5"/>
    <pivotCache cacheId="11" r:id="rId6"/>
    <pivotCache cacheId="12" r:id="rId7"/>
    <pivotCache cacheId="13" r:id="rId8"/>
    <pivotCache cacheId="14" r:id="rId9"/>
    <pivotCache cacheId="15" r:id="rId10"/>
    <pivotCache cacheId="16" r:id="rId11"/>
    <pivotCache cacheId="17" r:id="rId12"/>
    <pivotCache cacheId="18" r:id="rId13"/>
  </pivotCaches>
  <extLst>
    <ext xmlns:x14="http://schemas.microsoft.com/office/spreadsheetml/2009/9/main" uri="{876F7934-8845-4945-9796-88D515C7AA90}">
      <x14:pivotCaches>
        <pivotCache cacheId="1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7" l="1"/>
  <c r="I9" i="7" s="1"/>
  <c r="I15" i="7" s="1"/>
  <c r="I5" i="7"/>
  <c r="I8" i="7" s="1"/>
  <c r="I14" i="7" s="1"/>
  <c r="I3" i="7"/>
  <c r="I12" i="7" s="1"/>
  <c r="W19" i="5" s="1"/>
  <c r="T20" i="5" a="1"/>
  <c r="T20" i="5" s="1"/>
  <c r="S21" i="5" a="1"/>
  <c r="S21" i="5" s="1"/>
  <c r="I36" i="7"/>
  <c r="I37" i="7"/>
  <c r="I38" i="7"/>
  <c r="I39" i="7"/>
  <c r="I35" i="7"/>
  <c r="H36" i="7"/>
  <c r="H37" i="7"/>
  <c r="H38" i="7"/>
  <c r="H39" i="7"/>
  <c r="H35" i="7"/>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X19" i="5" l="1"/>
  <c r="Y19" i="5"/>
  <c r="I1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5A8C8B-D5F8-4B14-B2D3-B88B698B0F0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FC4CA8C-676F-4571-8B16-0CE0C3B10AEA}" name="WorksheetConnection_sample-data-excel-portfolio-project.xlsx!calls" type="102" refreshedVersion="7"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05AE4FF7-9682-4CDC-A16E-9B4CA74C16AF}" name="WorksheetConnection_sample-data-excel-portfolio-project.xlsx!customers" type="102" refreshedVersion="7"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<sst xmlns="http://schemas.openxmlformats.org/spreadsheetml/2006/main" count="3173" uniqueCount="1083">
  <si>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</si>
  <si>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</si>
  <si>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</si>
  <si>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</si>
  <si>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</si>
  <si>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</si>
  <si>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</si>
  <si>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</si>
  <si>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</si>
  <si>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</si>
  <si>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</si>
  <si>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</si>
  <si>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</si>
  <si>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</si>
  <si>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</si>
  <si>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</si>
  <si>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</si>
  <si>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</si>
  <si>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</si>
  <si>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</si>
  <si>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</si>
  <si>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</si>
  <si>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</si>
  <si>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</si>
  <si>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</si>
  <si>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</si>
  <si>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</si>
  <si>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</si>
  <si>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</si>
  <si>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</si>
  <si>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</si>
  <si>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</si>
  <si>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</si>
  <si>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</si>
  <si>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</si>
  <si>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</si>
  <si>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</si>
  <si>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</si>
  <si>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</si>
  <si>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</si>
  <si>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</si>
  <si>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</si>
  <si>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</si>
  <si>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</si>
  <si>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</si>
  <si>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</si>
  <si>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</si>
  <si>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</si>
  <si>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</si>
  <si>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</si>
  <si>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</si>
  <si>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</si>
  <si>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</si>
  <si>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</si>
  <si>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</si>
  <si>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</si>
  <si>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</si>
  <si>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</si>
  <si>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</si>
  <si>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</si>
  <si>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</si>
  <si>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</si>
  <si>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</si>
  <si>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</si>
  <si>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</si>
  <si>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</si>
  <si>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</si>
  <si>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</si>
  <si>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</si>
  <si>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</si>
  <si>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</si>
  <si>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</si>
  <si>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</si>
  <si>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</si>
  <si>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</si>
  <si>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</si>
  <si>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</si>
  <si>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</si>
  <si>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</si>
  <si>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</si>
  <si>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</si>
  <si>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</si>
  <si>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</si>
  <si>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</si>
  <si>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</si>
  <si>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</si>
  <si>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</si>
  <si>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</si>
  <si>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</si>
  <si>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</si>
  <si>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</si>
  <si>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</si>
  <si>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</si>
  <si>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</si>
  <si>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</si>
  <si>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</si>
  <si>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</si>
  <si>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</si>
  <si>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</si>
  <si>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</si>
  <si>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</si>
  <si>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</si>
  <si>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</si>
  <si>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</si>
  <si>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</si>
  <si>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</si>
  <si>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</si>
  <si>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</si>
  <si>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</si>
  <si>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</si>
  <si>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</si>
  <si>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</si>
  <si>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</si>
  <si>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</si>
  <si>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</si>
  <si>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</si>
  <si>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</si>
  <si>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</si>
  <si>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</si>
  <si>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</si>
  <si>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</si>
  <si>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</si>
  <si>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</si>
  <si>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</si>
  <si>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</si>
  <si>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</si>
  <si>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</si>
  <si>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</si>
  <si>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</si>
  <si>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</si>
  <si>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</si>
  <si>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</si>
  <si>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</si>
  <si>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</si>
  <si>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</si>
  <si>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</si>
  <si>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</si>
  <si>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</si>
  <si>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</si>
  <si>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</si>
  <si>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</si>
  <si>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</si>
  <si>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</si>
  <si>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</si>
  <si>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</si>
  <si>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</si>
  <si>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</si>
  <si>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</si>
  <si>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</si>
  <si>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</si>
  <si>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</si>
  <si>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</si>
  <si>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</si>
  <si>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</si>
  <si>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</si>
  <si>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</si>
  <si>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</si>
  <si>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</si>
  <si>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</si>
  <si>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</si>
  <si>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</si>
  <si>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</si>
  <si>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</si>
  <si>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</si>
  <si>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</si>
  <si>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</si>
  <si>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</si>
  <si>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</si>
  <si>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</si>
  <si>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</si>
  <si>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</si>
  <si>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</si>
  <si>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</si>
  <si>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</si>
  <si>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</si>
  <si>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</si>
  <si>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</si>
  <si>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</si>
  <si>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</si>
  <si>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</si>
  <si>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</si>
  <si>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</si>
  <si>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</si>
  <si>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</si>
  <si>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</si>
  <si>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</si>
  <si>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</si>
  <si>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</si>
  <si>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</si>
  <si>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</si>
  <si>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</si>
  <si>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</si>
  <si>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</si>
  <si>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</si>
  <si>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</si>
  <si>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</si>
  <si>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</si>
  <si>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</si>
  <si>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</si>
  <si>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</si>
  <si>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</si>
  <si>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</si>
  <si>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</si>
  <si>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</si>
  <si>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</si>
  <si>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</si>
  <si>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</si>
  <si>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</si>
  <si>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</si>
  <si>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</si>
  <si>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</si>
  <si>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</si>
  <si>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</si>
  <si>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</si>
  <si>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</si>
  <si>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</si>
  <si>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</si>
  <si>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</si>
  <si>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</si>
  <si>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</si>
  <si>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</si>
  <si>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</si>
  <si>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</si>
  <si>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</si>
  <si>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</si>
  <si>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</si>
  <si>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</si>
  <si>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</si>
  <si>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</si>
  <si>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</si>
  <si>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</si>
  <si>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</si>
  <si>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</si>
  <si>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</si>
  <si>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</si>
  <si>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</si>
  <si>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</si>
  <si>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</si>
  <si>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</si>
  <si>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</si>
  <si>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</si>
  <si>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</si>
  <si>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</si>
  <si>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</si>
  <si>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</si>
  <si>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</si>
  <si>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</si>
  <si>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</si>
  <si>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</si>
  <si>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</si>
  <si>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</si>
  <si>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</si>
  <si>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</si>
  <si>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</si>
  <si>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</si>
  <si>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</si>
  <si>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</si>
  <si>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</si>
  <si>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</si>
  <si>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</si>
  <si>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</si>
  <si>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</si>
  <si>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</si>
  <si>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</si>
  <si>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</si>
  <si>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</si>
  <si>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</si>
  <si>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</si>
  <si>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</si>
  <si>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</si>
  <si>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</si>
  <si>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</si>
  <si>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</si>
  <si>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</si>
  <si>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</si>
  <si>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</si>
  <si>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</si>
  <si>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</si>
  <si>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</si>
  <si>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</si>
  <si>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</si>
  <si>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</si>
  <si>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</si>
  <si>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</si>
  <si>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</si>
  <si>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</si>
  <si>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</si>
  <si>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</si>
  <si>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</si>
  <si>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</si>
  <si>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</si>
  <si>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</si>
  <si>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</si>
  <si>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</si>
  <si>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</si>
  <si>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</si>
  <si>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</si>
  <si>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</si>
  <si>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</si>
  <si>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</si>
  <si>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</si>
  <si>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</si>
  <si>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</si>
  <si>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</si>
  <si>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</si>
  <si>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</si>
  <si>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</si>
  <si>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</si>
  <si>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</si>
  <si>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</si>
  <si>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</si>
  <si>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</si>
  <si>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</si>
  <si>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</si>
  <si>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</si>
  <si>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</si>
  <si>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</si>
  <si>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</si>
  <si>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</si>
  <si>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</si>
  <si>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</si>
  <si>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</si>
  <si>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</si>
  <si>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</si>
  <si>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</si>
  <si>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</si>
  <si>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</si>
  <si>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</si>
  <si>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</si>
  <si>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</si>
  <si>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</si>
  <si>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</si>
  <si>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</si>
  <si>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</si>
  <si>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</si>
  <si>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</si>
  <si>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</si>
  <si>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</si>
  <si>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</si>
  <si>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</si>
  <si>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</si>
  <si>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</si>
  <si>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</si>
  <si>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</si>
  <si>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</si>
  <si>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</si>
  <si>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</si>
  <si>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</si>
  <si>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</si>
  <si>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</si>
  <si>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</si>
  <si>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</si>
  <si>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</si>
  <si>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</si>
  <si>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</si>
  <si>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</si>
  <si>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</si>
  <si>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</si>
  <si>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</si>
  <si>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</si>
  <si>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</si>
  <si>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</si>
  <si>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</si>
  <si>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</si>
  <si>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</si>
  <si>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</si>
  <si>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</si>
  <si>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</si>
  <si>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</si>
  <si>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</si>
  <si>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</si>
  <si>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</si>
  <si>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</si>
  <si>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</si>
  <si>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</si>
  <si>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</si>
  <si>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</si>
  <si>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</si>
  <si>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</si>
  <si>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</si>
  <si>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</si>
  <si>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</si>
  <si>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</si>
  <si>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</si>
  <si>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</si>
  <si>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</si>
  <si>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</si>
  <si>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</si>
  <si>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</si>
  <si>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</si>
  <si>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</si>
  <si>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</si>
  <si>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</si>
  <si>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</si>
  <si>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</si>
  <si>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</si>
  <si>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</si>
  <si>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</si>
  <si>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</si>
  <si>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</si>
  <si>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</si>
  <si>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</si>
  <si>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</si>
  <si>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</si>
  <si>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</si>
  <si>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</si>
  <si>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</si>
  <si>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</si>
  <si>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</si>
  <si>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</si>
  <si>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</si>
  <si>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</si>
  <si>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</si>
  <si>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</si>
  <si>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</si>
  <si>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</si>
  <si>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</si>
  <si>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</si>
  <si>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</si>
  <si>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</si>
  <si>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</si>
  <si>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</si>
  <si>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</si>
  <si>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</si>
  <si>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</si>
  <si>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</si>
  <si>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</si>
  <si>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</si>
  <si>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</si>
  <si>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</si>
  <si>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</si>
  <si>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</si>
  <si>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</si>
  <si>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</si>
  <si>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</si>
  <si>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</si>
  <si>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</si>
  <si>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</si>
  <si>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</si>
  <si>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</si>
  <si>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</si>
  <si>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</si>
  <si>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</si>
  <si>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</si>
  <si>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</si>
  <si>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</si>
  <si>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</si>
  <si>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</si>
  <si>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</si>
  <si>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</si>
  <si>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</si>
  <si>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</si>
  <si>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</si>
  <si>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</si>
  <si>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</si>
  <si>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</si>
  <si>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</si>
  <si>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</si>
  <si>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</si>
  <si>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</si>
  <si>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</si>
  <si>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</si>
  <si>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</si>
  <si>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</si>
  <si>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</si>
  <si>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</si>
  <si>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</si>
  <si>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</si>
  <si>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</si>
  <si>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</si>
  <si>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</si>
  <si>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</si>
  <si>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</si>
  <si>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</si>
  <si>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</si>
  <si>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</si>
  <si>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</si>
  <si>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</si>
  <si>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</si>
  <si>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</si>
  <si>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</si>
  <si>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</si>
  <si>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</si>
  <si>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</si>
  <si>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</si>
  <si>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</si>
  <si>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</si>
  <si>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</si>
  <si>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</si>
  <si>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</si>
  <si>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</si>
  <si>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</si>
  <si>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</si>
  <si>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</si>
  <si>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</si>
  <si>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</si>
  <si>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</si>
  <si>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</si>
  <si>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</si>
  <si>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</si>
  <si>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</si>
  <si>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</si>
  <si>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</si>
  <si>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</si>
  <si>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</si>
  <si>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</si>
  <si>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</si>
  <si>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</si>
  <si>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</si>
  <si>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</si>
  <si>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</si>
  <si>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</si>
  <si>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</si>
  <si>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</si>
  <si>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</si>
  <si>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</si>
  <si>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</si>
  <si>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</si>
  <si>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</si>
  <si>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</si>
  <si>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</si>
  <si>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</si>
  <si>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</si>
  <si>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</si>
  <si>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</si>
  <si>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</si>
  <si>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</si>
  <si>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</si>
  <si>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</si>
  <si>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</si>
  <si>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</si>
  <si>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</si>
  <si>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</si>
  <si>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</si>
  <si>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</si>
  <si>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</si>
  <si>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</si>
  <si>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</si>
  <si>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</si>
  <si>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</si>
  <si>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</si>
  <si>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</si>
  <si>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</si>
  <si>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</si>
  <si>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</si>
  <si>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</si>
  <si>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</si>
  <si>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</si>
  <si>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</si>
  <si>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</si>
  <si>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</si>
  <si>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</si>
  <si>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</si>
  <si>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</si>
  <si>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</si>
  <si>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</si>
  <si>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</si>
  <si>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</si>
  <si>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</si>
  <si>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</si>
  <si>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</si>
  <si>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</si>
  <si>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</si>
  <si>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</si>
  <si>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</si>
  <si>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</si>
  <si>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</si>
  <si>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</si>
  <si>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</si>
  <si>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</si>
  <si>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</si>
  <si>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</si>
  <si>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</si>
  <si>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</si>
  <si>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</si>
  <si>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</si>
  <si>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</si>
  <si>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</si>
  <si>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</si>
  <si>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</si>
  <si>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</si>
  <si>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</si>
  <si>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</si>
  <si>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</si>
  <si>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</si>
  <si>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</si>
  <si>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</si>
  <si>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</si>
  <si>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</si>
  <si>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</si>
  <si>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</si>
  <si>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</si>
  <si>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</si>
  <si>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</si>
  <si>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</si>
  <si>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</si>
  <si>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</si>
  <si>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</si>
  <si>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</si>
  <si>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</si>
  <si>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</si>
  <si>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</si>
  <si>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</si>
  <si>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</si>
  <si>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</si>
  <si>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</si>
  <si>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</si>
  <si>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</si>
  <si>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</si>
  <si>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</si>
  <si>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</si>
  <si>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</si>
  <si>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</si>
  <si>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</si>
  <si>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</si>
  <si>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</si>
  <si>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</si>
  <si>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</si>
  <si>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</si>
  <si>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</si>
  <si>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</si>
  <si>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</si>
  <si>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</si>
  <si>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</si>
  <si>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</si>
  <si>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</si>
  <si>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</si>
  <si>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</si>
  <si>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</si>
  <si>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</si>
  <si>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</si>
  <si>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</si>
  <si>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</si>
  <si>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</si>
  <si>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</si>
  <si>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</si>
  <si>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</si>
  <si>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</si>
  <si>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</si>
  <si>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</si>
  <si>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</si>
  <si>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</si>
  <si>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</si>
  <si>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</si>
  <si>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</si>
  <si>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</si>
  <si>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</si>
  <si>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</si>
  <si>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</si>
  <si>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</si>
  <si>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</si>
  <si>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</si>
  <si>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</si>
  <si>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</si>
  <si>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</si>
  <si>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</si>
  <si>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</si>
  <si>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</si>
  <si>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</si>
  <si>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</si>
  <si>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</si>
  <si>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</si>
  <si>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</si>
  <si>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</si>
  <si>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</si>
  <si>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</si>
  <si>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</si>
  <si>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</si>
  <si>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</si>
  <si>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</si>
  <si>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</si>
  <si>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</si>
  <si>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</si>
  <si>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</si>
  <si>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</si>
  <si>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</si>
  <si>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</si>
  <si>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</si>
  <si>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</si>
  <si>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</si>
  <si>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</si>
  <si>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</si>
  <si>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</si>
  <si>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</si>
  <si>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</si>
  <si>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</si>
  <si>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</si>
  <si>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</si>
  <si>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</si>
  <si>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</si>
  <si>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</si>
  <si>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</si>
  <si>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</si>
  <si>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</si>
  <si>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</si>
  <si>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</si>
  <si>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</si>
  <si>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</si>
  <si>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</si>
  <si>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</si>
  <si>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</si>
  <si>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</si>
  <si>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</si>
  <si>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</si>
  <si>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</si>
  <si>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</si>
  <si>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</si>
  <si>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</si>
  <si>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</si>
  <si>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</si>
  <si>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</si>
  <si>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</si>
  <si>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</si>
  <si>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</si>
  <si>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</si>
  <si>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</si>
  <si>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</si>
  <si>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</si>
  <si>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</si>
  <si>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</si>
  <si>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</si>
  <si>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</si>
  <si>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</si>
  <si>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</si>
  <si>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</si>
  <si>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</si>
  <si>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</si>
  <si>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</si>
  <si>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</si>
  <si>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</si>
  <si>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</si>
  <si>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</si>
  <si>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</si>
  <si>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</si>
  <si>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</si>
  <si>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</si>
  <si>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</si>
  <si>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</si>
  <si>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</si>
  <si>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</si>
  <si>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</si>
  <si>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</si>
  <si>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</si>
  <si>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</si>
  <si>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</si>
  <si>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</si>
  <si>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</si>
  <si>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</si>
  <si>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</si>
  <si>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</si>
  <si>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</si>
  <si>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</si>
  <si>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</si>
  <si>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</si>
  <si>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</si>
  <si>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</si>
  <si>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</si>
  <si>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</si>
  <si>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</si>
  <si>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</si>
  <si>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</si>
  <si>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</si>
  <si>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</si>
  <si>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</si>
  <si>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</si>
  <si>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</si>
  <si>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</si>
  <si>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</si>
  <si>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</si>
  <si>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</si>
  <si>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</si>
  <si>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</si>
  <si>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</si>
  <si>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</si>
  <si>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</si>
  <si>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</si>
  <si>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</si>
  <si>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</si>
  <si>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</si>
  <si>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</si>
  <si>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</si>
  <si>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</si>
  <si>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</si>
  <si>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</si>
  <si>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</si>
  <si>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</si>
  <si>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</si>
  <si>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</si>
  <si>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</si>
  <si>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</si>
  <si>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</si>
  <si>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</si>
  <si>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</si>
  <si>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</si>
  <si>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</si>
  <si>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</si>
  <si>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</si>
  <si>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</si>
  <si>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</si>
  <si>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</si>
  <si>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</si>
  <si>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</si>
  <si>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</si>
  <si>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</si>
  <si>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</si>
  <si>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</si>
  <si>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</si>
  <si>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</si>
  <si>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</si>
  <si>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</si>
  <si>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</si>
  <si>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</si>
  <si>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</si>
  <si>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</si>
  <si>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</si>
  <si>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</si>
  <si>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</si>
  <si>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</si>
  <si>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</si>
  <si>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</si>
  <si>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</si>
  <si>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</si>
  <si>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</si>
  <si>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</si>
  <si>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</si>
  <si>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</si>
  <si>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</si>
  <si>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</si>
  <si>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</si>
  <si>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</si>
  <si>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</si>
  <si>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</si>
  <si>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</si>
  <si>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</si>
  <si>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</si>
  <si>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</si>
  <si>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</si>
  <si>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</si>
  <si>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</si>
  <si>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</si>
  <si>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</si>
  <si>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</si>
  <si>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</si>
  <si>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</si>
  <si>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</si>
  <si>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</si>
  <si>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</si>
  <si>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</si>
  <si>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</si>
  <si>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</si>
  <si>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</si>
  <si>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</si>
  <si>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</si>
  <si>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</si>
  <si>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</si>
  <si>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</si>
  <si>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</si>
  <si>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</si>
  <si>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</si>
  <si>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</si>
  <si>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</si>
  <si>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</si>
  <si>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</si>
  <si>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</si>
  <si>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</si>
  <si>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</si>
  <si>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</si>
  <si>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</si>
  <si>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</si>
  <si>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</si>
  <si>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</si>
  <si>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</si>
  <si>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</si>
  <si>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</si>
  <si>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</si>
  <si>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</si>
  <si>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</si>
  <si>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</si>
  <si>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</si>
  <si>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</si>
  <si>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</si>
  <si>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</si>
  <si>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</si>
  <si>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</si>
  <si>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</si>
  <si>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</si>
  <si>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</si>
  <si>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</si>
  <si>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</si>
  <si>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</si>
  <si>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</si>
  <si>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</si>
  <si>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</si>
  <si>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</si>
  <si>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</si>
  <si>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</si>
  <si>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</si>
  <si>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</si>
  <si>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</si>
  <si>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</si>
  <si>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</si>
  <si>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</si>
  <si>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</si>
  <si>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</si>
  <si>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</si>
  <si>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</si>
  <si>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</si>
  <si>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</si>
  <si>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</si>
  <si>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</si>
  <si>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</si>
  <si>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</si>
  <si>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</si>
  <si>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</si>
  <si>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</si>
  <si>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</si>
  <si>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</si>
  <si>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</si>
  <si>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</si>
  <si>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</si>
  <si>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</si>
  <si>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</si>
  <si>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</si>
  <si>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</si>
  <si>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</si>
  <si>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</si>
  <si>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</si>
  <si>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</si>
  <si>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</si>
  <si>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</si>
  <si>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</si>
  <si>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</si>
  <si>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</si>
  <si>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</si>
  <si>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</si>
  <si>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</si>
  <si>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</si>
  <si>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</si>
  <si>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</si>
  <si>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</si>
  <si>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</si>
  <si>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</si>
  <si>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</si>
  <si>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</si>
  <si>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</si>
  <si>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</si>
  <si>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</si>
  <si>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</si>
  <si>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</si>
  <si>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</si>
  <si>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</si>
  <si>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</si>
  <si>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</si>
  <si>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</si>
  <si>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</si>
  <si>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</si>
  <si>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</si>
  <si>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</si>
  <si>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</si>
  <si>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</si>
  <si>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</si>
  <si>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</si>
  <si>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</si>
  <si>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</si>
  <si>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</si>
  <si>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</si>
  <si>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</si>
  <si>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</si>
  <si>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</si>
  <si>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</si>
  <si>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</si>
  <si>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</si>
  <si>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</si>
  <si>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</si>
  <si>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</si>
  <si>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</si>
  <si>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</si>
  <si>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</si>
  <si>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</si>
  <si>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</si>
  <si>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</si>
  <si>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</si>
  <si>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</si>
  <si>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</si>
  <si>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</si>
  <si>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</si>
  <si>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</si>
  <si>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</si>
  <si>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</si>
  <si>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</si>
  <si>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</si>
  <si>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</si>
  <si>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</si>
  <si>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</si>
  <si>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</si>
  <si>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</si>
  <si>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</si>
  <si>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</si>
  <si>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</si>
  <si>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</si>
  <si>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</si>
  <si>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</si>
  <si>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</si>
  <si>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</si>
  <si>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</si>
  <si>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</si>
  <si>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</si>
  <si>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</si>
  <si>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</si>
  <si>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</si>
  <si>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</si>
  <si>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</si>
  <si>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</si>
  <si>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</si>
  <si>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</si>
  <si>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</si>
  <si>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</si>
  <si>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</si>
  <si>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</si>
  <si>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</si>
  <si>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</si>
  <si>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</si>
  <si>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</si>
  <si>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</si>
  <si>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</si>
  <si>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</si>
  <si>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</si>
  <si>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</si>
  <si>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</si>
  <si>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</si>
  <si>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</si>
  <si>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</si>
  <si>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</si>
  <si>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</si>
  <si>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</si>
  <si>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</si>
  <si>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</si>
  <si>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</si>
  <si>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</si>
  <si>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</si>
  <si>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</si>
  <si>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</si>
  <si>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Sum of Duration</t>
  </si>
  <si>
    <t>Call Count</t>
  </si>
  <si>
    <t>Toatal Amount</t>
  </si>
  <si>
    <t>Avg Rating</t>
  </si>
  <si>
    <t>5* CALLS</t>
  </si>
  <si>
    <t>Row Labels</t>
  </si>
  <si>
    <t>Friday</t>
  </si>
  <si>
    <t>Monday</t>
  </si>
  <si>
    <t>Saturday</t>
  </si>
  <si>
    <t>Sunday</t>
  </si>
  <si>
    <t>Thursday</t>
  </si>
  <si>
    <t>Tuesday</t>
  </si>
  <si>
    <t>Wednesday</t>
  </si>
  <si>
    <t>Grand Total</t>
  </si>
  <si>
    <t>Jan</t>
  </si>
  <si>
    <t>Feb</t>
  </si>
  <si>
    <t>Mar</t>
  </si>
  <si>
    <t>Apr</t>
  </si>
  <si>
    <t>May</t>
  </si>
  <si>
    <t>Jun</t>
  </si>
  <si>
    <t>Jul</t>
  </si>
  <si>
    <t>Aug</t>
  </si>
  <si>
    <t>Sep</t>
  </si>
  <si>
    <t>Oct</t>
  </si>
  <si>
    <t>Nov</t>
  </si>
  <si>
    <t>Dec</t>
  </si>
  <si>
    <t>Call Count2</t>
  </si>
  <si>
    <t>REPs</t>
  </si>
  <si>
    <t xml:space="preserve">call </t>
  </si>
  <si>
    <t xml:space="preserve">Call Count </t>
  </si>
  <si>
    <t>Total amount</t>
  </si>
  <si>
    <t>Sel. Calls</t>
  </si>
  <si>
    <t>Sel. Amount</t>
  </si>
  <si>
    <t>Column Labels</t>
  </si>
  <si>
    <t>Total</t>
  </si>
  <si>
    <t>% calls</t>
  </si>
  <si>
    <t>call rank</t>
  </si>
  <si>
    <t>amount</t>
  </si>
  <si>
    <t>amount rank</t>
  </si>
  <si>
    <t>lables</t>
  </si>
  <si>
    <t>CALL CENTRE REPORT-2023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</si>
</sst>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0,&quot;k&quot;"/>
    <numFmt numFmtId="168" formatCode="[$$-409]#,##0"/>
  </numFmts>
  <fonts count="8">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sz val="11"/>
      <color theme="1"/>
      <name val="Aptos"/>
      <scheme val="minor"/>
    </font>
    <font>
      <b/>
      <u/>
      <sz val="11"/>
      <color theme="1"/>
      <name val="Aptos"/>
      <scheme val="minor"/>
    </font>
    <font>
      <b/>
      <sz val="48"/>
      <color theme="1"/>
      <name val="Aptos"/>
      <scheme val="minor"/>
    </font>
  </fonts>
  <fills count="5">
    <fill>
      <patternFill patternType="none"/>
    </fill>
    <fill>
      <patternFill patternType="gray125"/>
    </fill>
    <fill>
      <patternFill patternType="solid">
        <fgColor theme="7"/>
        <bgColor indexed="64"/>
      </patternFill>
    </fill>
    <fill>
      <patternFill patternType="solid">
        <fgColor theme="0" tint="-0.249977111117893"/>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xf numFmtId="167" fontId="0" fillId="0" borderId="0" xfId="0" applyNumberFormat="1"/>
    <xf numFmtId="0" fontId="0" fillId="0" borderId="0" xfId="0" applyAlignment="1">
      <alignment horizontal="left" indent="1"/>
    </xf>
    <xf numFmtId="0" fontId="0" fillId="4" borderId="0" xfId="0" applyFill="1" applyBorder="1"/>
    <xf numFmtId="0" fontId="0" fillId="4" borderId="0" xfId="0" applyFill="1" applyBorder="1" applyAlignment="1">
      <alignment horizontal="right" vertical="center"/>
    </xf>
    <xf numFmtId="0" fontId="0" fillId="4" borderId="0" xfId="0" applyFill="1" applyBorder="1" applyAlignment="1">
      <alignment horizontal="right"/>
    </xf>
    <xf numFmtId="0" fontId="5" fillId="4" borderId="0" xfId="0" applyFont="1" applyFill="1" applyBorder="1" applyAlignment="1">
      <alignment horizontal="left"/>
    </xf>
    <xf numFmtId="0" fontId="0" fillId="4" borderId="0" xfId="0" applyFill="1" applyBorder="1" applyAlignment="1">
      <alignment horizontal="left" indent="1"/>
    </xf>
    <xf numFmtId="168" fontId="0" fillId="4" borderId="0" xfId="0" applyNumberFormat="1" applyFill="1" applyBorder="1"/>
    <xf numFmtId="9" fontId="0" fillId="0" borderId="0" xfId="1" applyFont="1"/>
    <xf numFmtId="168" fontId="0" fillId="0" borderId="0" xfId="0" applyNumberFormat="1"/>
    <xf numFmtId="0" fontId="6" fillId="0" borderId="0" xfId="0" applyFont="1" applyFill="1"/>
    <xf numFmtId="0" fontId="7" fillId="3" borderId="0" xfId="0" applyFont="1" applyFill="1"/>
    <xf numFmtId="0" fontId="0" fillId="4" borderId="0" xfId="0" applyFill="1"/>
  </cellXfs>
  <cellStyles count="2">
    <cellStyle name="Normal" xfId="0" builtinId="0"/>
    <cellStyle name="Per cent" xfId="1" builtinId="5"/>
  </cellStyles>
  <dxfs count="16">
    <dxf>
      <fill>
        <patternFill>
          <bgColor theme="9" tint="0.59996337778862885"/>
        </patternFill>
      </fill>
      <border>
        <left style="thin">
          <color auto="1"/>
        </left>
        <right style="thin">
          <color auto="1"/>
        </right>
        <top style="thin">
          <color auto="1"/>
        </top>
        <bottom style="thin">
          <color auto="1"/>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5"/>
    </tableStyle>
  </tableStyles>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3200" b="1"/>
              <a:t>Calls</a:t>
            </a:r>
          </a:p>
        </c:rich>
      </c:tx>
      <c:layout>
        <c:manualLayout>
          <c:xMode val="edge"/>
          <c:yMode val="edge"/>
          <c:x val="2.3630428767083201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397324049838577E-2"/>
          <c:y val="0.19895742927008786"/>
          <c:w val="0.89950313849828578"/>
          <c:h val="0.74972598823157144"/>
        </c:manualLayout>
      </c:layout>
      <c:barChart>
        <c:barDir val="bar"/>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Pivots!$E$35:$E$39</c:f>
              <c:strCache>
                <c:ptCount val="5"/>
                <c:pt idx="0">
                  <c:v>R01</c:v>
                </c:pt>
                <c:pt idx="1">
                  <c:v>R02</c:v>
                </c:pt>
                <c:pt idx="2">
                  <c:v>R03</c:v>
                </c:pt>
                <c:pt idx="3">
                  <c:v>R04</c:v>
                </c:pt>
                <c:pt idx="4">
                  <c:v>R05</c:v>
                </c:pt>
              </c:strCache>
            </c:strRef>
          </c:cat>
          <c:val>
            <c:numRef>
              <c:f>Pivots!$F$35:$F$39</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0DA6-4AF9-B950-E529EF882367}"/>
            </c:ext>
          </c:extLst>
        </c:ser>
        <c:ser>
          <c:idx val="1"/>
          <c:order val="1"/>
          <c:tx>
            <c:strRef>
              <c:f>Pivots!$H$34</c:f>
              <c:strCache>
                <c:ptCount val="1"/>
                <c:pt idx="0">
                  <c:v>Sel. Calls</c:v>
                </c:pt>
              </c:strCache>
            </c:strRef>
          </c:tx>
          <c:spPr>
            <a:solidFill>
              <a:schemeClr val="accent5"/>
            </a:solidFill>
            <a:ln>
              <a:noFill/>
            </a:ln>
            <a:effectLst/>
          </c:spPr>
          <c:invertIfNegative val="0"/>
          <c:val>
            <c:numRef>
              <c:f>Pivots!$H$35:$H$39</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0DA6-4AF9-B950-E529EF882367}"/>
            </c:ext>
          </c:extLst>
        </c:ser>
        <c:dLbls>
          <c:showLegendKey val="0"/>
          <c:showVal val="0"/>
          <c:showCatName val="0"/>
          <c:showSerName val="0"/>
          <c:showPercent val="0"/>
          <c:showBubbleSize val="0"/>
        </c:dLbls>
        <c:gapWidth val="35"/>
        <c:overlap val="100"/>
        <c:axId val="1928985167"/>
        <c:axId val="1928983087"/>
      </c:barChart>
      <c:catAx>
        <c:axId val="19289851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983087"/>
        <c:crosses val="autoZero"/>
        <c:auto val="1"/>
        <c:lblAlgn val="ctr"/>
        <c:lblOffset val="100"/>
        <c:noMultiLvlLbl val="0"/>
      </c:catAx>
      <c:valAx>
        <c:axId val="1928983087"/>
        <c:scaling>
          <c:orientation val="minMax"/>
          <c:min val="0"/>
        </c:scaling>
        <c:delete val="1"/>
        <c:axPos val="t"/>
        <c:numFmt formatCode="#,##0" sourceLinked="1"/>
        <c:majorTickMark val="none"/>
        <c:minorTickMark val="none"/>
        <c:tickLblPos val="nextTo"/>
        <c:crossAx val="192898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3200" b="1"/>
              <a:t>Amount</a:t>
            </a:r>
          </a:p>
        </c:rich>
      </c:tx>
      <c:layout>
        <c:manualLayout>
          <c:xMode val="edge"/>
          <c:yMode val="edge"/>
          <c:x val="2.2222723195740226E-2"/>
          <c:y val="1.8505748256980727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205179297692525E-2"/>
          <c:y val="0.21774344257189102"/>
          <c:w val="0.8892184127320425"/>
          <c:h val="0.73136574972141211"/>
        </c:manualLayout>
      </c:layout>
      <c:barChart>
        <c:barDir val="bar"/>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Pivots!$E$35:$E$39</c:f>
              <c:strCache>
                <c:ptCount val="5"/>
                <c:pt idx="0">
                  <c:v>R01</c:v>
                </c:pt>
                <c:pt idx="1">
                  <c:v>R02</c:v>
                </c:pt>
                <c:pt idx="2">
                  <c:v>R03</c:v>
                </c:pt>
                <c:pt idx="3">
                  <c:v>R04</c:v>
                </c:pt>
                <c:pt idx="4">
                  <c:v>R05</c:v>
                </c:pt>
              </c:strCache>
            </c:strRef>
          </c:cat>
          <c:val>
            <c:numRef>
              <c:f>Pivots!$G$35:$G$39</c:f>
              <c:numCache>
                <c:formatCode>\$#,##0.0,"k"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2AF-4F70-B15F-ADC2789FD316}"/>
            </c:ext>
          </c:extLst>
        </c:ser>
        <c:ser>
          <c:idx val="1"/>
          <c:order val="1"/>
          <c:tx>
            <c:strRef>
              <c:f>Pivots!$I$34</c:f>
              <c:strCache>
                <c:ptCount val="1"/>
                <c:pt idx="0">
                  <c:v>Sel. Amount</c:v>
                </c:pt>
              </c:strCache>
            </c:strRef>
          </c:tx>
          <c:spPr>
            <a:solidFill>
              <a:schemeClr val="accent5"/>
            </a:solidFill>
            <a:ln>
              <a:noFill/>
            </a:ln>
            <a:effectLst/>
          </c:spPr>
          <c:invertIfNegative val="0"/>
          <c:val>
            <c:numRef>
              <c:f>Pivots!$I$35:$I$39</c:f>
              <c:numCache>
                <c:formatCode>\$#,##0.0,"k"</c:formatCode>
                <c:ptCount val="5"/>
                <c:pt idx="0">
                  <c:v>#N/A</c:v>
                </c:pt>
                <c:pt idx="1">
                  <c:v>#N/A</c:v>
                </c:pt>
                <c:pt idx="2">
                  <c:v>20872</c:v>
                </c:pt>
                <c:pt idx="3">
                  <c:v>#N/A</c:v>
                </c:pt>
                <c:pt idx="4">
                  <c:v>#N/A</c:v>
                </c:pt>
              </c:numCache>
            </c:numRef>
          </c:val>
          <c:extLst>
            <c:ext xmlns:c16="http://schemas.microsoft.com/office/drawing/2014/chart" uri="{C3380CC4-5D6E-409C-BE32-E72D297353CC}">
              <c16:uniqueId val="{00000001-B2AF-4F70-B15F-ADC2789FD316}"/>
            </c:ext>
          </c:extLst>
        </c:ser>
        <c:dLbls>
          <c:showLegendKey val="0"/>
          <c:showVal val="0"/>
          <c:showCatName val="0"/>
          <c:showSerName val="0"/>
          <c:showPercent val="0"/>
          <c:showBubbleSize val="0"/>
        </c:dLbls>
        <c:gapWidth val="35"/>
        <c:overlap val="100"/>
        <c:axId val="1928985167"/>
        <c:axId val="1928983087"/>
      </c:barChart>
      <c:catAx>
        <c:axId val="192898516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983087"/>
        <c:crosses val="autoZero"/>
        <c:auto val="1"/>
        <c:lblAlgn val="ctr"/>
        <c:lblOffset val="100"/>
        <c:noMultiLvlLbl val="0"/>
      </c:catAx>
      <c:valAx>
        <c:axId val="1928983087"/>
        <c:scaling>
          <c:orientation val="minMax"/>
        </c:scaling>
        <c:delete val="1"/>
        <c:axPos val="t"/>
        <c:numFmt formatCode="\$#,##0.0,&quot;k&quot;" sourceLinked="1"/>
        <c:majorTickMark val="out"/>
        <c:minorTickMark val="none"/>
        <c:tickLblPos val="nextTo"/>
        <c:crossAx val="1928985167"/>
        <c:crosses val="autoZero"/>
        <c:crossBetween val="between"/>
      </c:valAx>
      <c:spPr>
        <a:noFill/>
        <a:ln>
          <a:solidFill>
            <a:srgbClr val="FFFFFF"/>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[excel-portfolio-project.xlsx]Pivots!Monthy return</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57150" dist="19050" dir="5400000" algn="ctr" rotWithShape="0">
              <a:srgbClr val="000000">
                <a:alpha val="63000"/>
              </a:srgbClr>
            </a:outerShdw>
          </a:effectLst>
        </c:spPr>
        <c:marker>
          <c:symbol val="circle"/>
          <c:size val="6"/>
          <c:spPr>
            <a:solidFill>
              <a:schemeClr val="accent6"/>
            </a:solidFill>
            <a:ln w="9525">
              <a:solidFill>
                <a:schemeClr val="accent6"/>
              </a:solidFill>
              <a:round/>
            </a:ln>
            <a:effectLst>
              <a:outerShdw blurRad="57150" dist="19050" dir="5400000" algn="ctr" rotWithShape="0">
                <a:srgbClr val="000000">
                  <a:alpha val="63000"/>
                </a:srgbClr>
              </a:outerShdw>
            </a:effectLst>
            <a:scene3d>
              <a:camera prst="orthographicFront"/>
              <a:lightRig rig="threePt" dir="t"/>
            </a:scene3d>
            <a:sp3d prstMaterial="metal">
              <a:bevelT w="152400" h="508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05062380901022E-2"/>
          <c:y val="0.2428092379499194"/>
          <c:w val="0.90020224355517209"/>
          <c:h val="0.64979125485540945"/>
        </c:manualLayout>
      </c:layout>
      <c:areaChart>
        <c:grouping val="standard"/>
        <c:varyColors val="0"/>
        <c:ser>
          <c:idx val="1"/>
          <c:order val="1"/>
          <c:tx>
            <c:strRef>
              <c:f>Pivots!$C$16</c:f>
              <c:strCache>
                <c:ptCount val="1"/>
                <c:pt idx="0">
                  <c:v>Call Count2</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D087-4FF6-BF07-CAA4F6CDD65C}"/>
            </c:ext>
          </c:extLst>
        </c:ser>
        <c:dLbls>
          <c:showLegendKey val="0"/>
          <c:showVal val="0"/>
          <c:showCatName val="0"/>
          <c:showSerName val="0"/>
          <c:showPercent val="0"/>
          <c:showBubbleSize val="0"/>
        </c:dLbls>
        <c:axId val="1752733439"/>
        <c:axId val="1752740095"/>
      </c:areaChart>
      <c:lineChart>
        <c:grouping val="standard"/>
        <c:varyColors val="0"/>
        <c:ser>
          <c:idx val="0"/>
          <c:order val="0"/>
          <c:tx>
            <c:strRef>
              <c:f>Pivots!$B$16</c:f>
              <c:strCache>
                <c:ptCount val="1"/>
                <c:pt idx="0">
                  <c:v>Call Count</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solidFill>
                <a:schemeClr val="accent6"/>
              </a:solidFill>
              <a:ln w="9525">
                <a:solidFill>
                  <a:schemeClr val="accent6"/>
                </a:solidFill>
                <a:round/>
              </a:ln>
              <a:effectLst>
                <a:outerShdw blurRad="57150" dist="19050" dir="5400000" algn="ctr" rotWithShape="0">
                  <a:srgbClr val="000000">
                    <a:alpha val="63000"/>
                  </a:srgbClr>
                </a:outerShdw>
              </a:effectLst>
              <a:scene3d>
                <a:camera prst="orthographicFront"/>
                <a:lightRig rig="threePt" dir="t"/>
              </a:scene3d>
              <a:sp3d prstMaterial="metal">
                <a:bevelT w="152400" h="50800" prst="softRound"/>
              </a:sp3d>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D087-4FF6-BF07-CAA4F6CDD65C}"/>
            </c:ext>
          </c:extLst>
        </c:ser>
        <c:dLbls>
          <c:showLegendKey val="0"/>
          <c:showVal val="0"/>
          <c:showCatName val="0"/>
          <c:showSerName val="0"/>
          <c:showPercent val="0"/>
          <c:showBubbleSize val="0"/>
        </c:dLbls>
        <c:marker val="1"/>
        <c:smooth val="0"/>
        <c:axId val="1752733439"/>
        <c:axId val="1752740095"/>
      </c:lineChart>
      <c:catAx>
        <c:axId val="175273343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2740095"/>
        <c:crosses val="autoZero"/>
        <c:auto val="1"/>
        <c:lblAlgn val="ctr"/>
        <c:lblOffset val="100"/>
        <c:noMultiLvlLbl val="0"/>
      </c:catAx>
      <c:valAx>
        <c:axId val="175274009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2733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[excel-portfolio-project.xlsx]Pivots!Weekday return</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72996805809604E-2"/>
          <c:y val="5.7737026957631221E-2"/>
          <c:w val="0.93315971765363337"/>
          <c:h val="0.90865952789987203"/>
        </c:manualLayout>
      </c:layout>
      <c:barChart>
        <c:barDir val="bar"/>
        <c:grouping val="clustered"/>
        <c:varyColors val="0"/>
        <c:ser>
          <c:idx val="0"/>
          <c:order val="0"/>
          <c:tx>
            <c:strRef>
              <c:f>Pivots!$G$16</c:f>
              <c:strCache>
                <c:ptCount val="1"/>
                <c:pt idx="0">
                  <c:v>Total</c:v>
                </c:pt>
              </c:strCache>
            </c:strRef>
          </c:tx>
          <c:spPr>
            <a:solidFill>
              <a:schemeClr val="accent6"/>
            </a:solidFill>
            <a:ln w="28575">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Pivots!$F$17:$F$24</c:f>
              <c:strCache>
                <c:ptCount val="7"/>
                <c:pt idx="0">
                  <c:v>Sunday</c:v>
                </c:pt>
                <c:pt idx="1">
                  <c:v>Saturday</c:v>
                </c:pt>
                <c:pt idx="2">
                  <c:v>Friday</c:v>
                </c:pt>
                <c:pt idx="3">
                  <c:v>Thursday</c:v>
                </c:pt>
                <c:pt idx="4">
                  <c:v>Wednesday</c:v>
                </c:pt>
                <c:pt idx="5">
                  <c:v>Tuesday</c:v>
                </c:pt>
                <c:pt idx="6">
                  <c:v>Monday</c:v>
                </c:pt>
              </c:strCache>
            </c:strRef>
          </c:cat>
          <c:val>
            <c:numRef>
              <c:f>Pivots!$G$17:$G$24</c:f>
              <c:numCache>
                <c:formatCode>#,##0</c:formatCode>
                <c:ptCount val="7"/>
                <c:pt idx="0">
                  <c:v>30</c:v>
                </c:pt>
                <c:pt idx="1">
                  <c:v>25</c:v>
                </c:pt>
                <c:pt idx="2">
                  <c:v>27</c:v>
                </c:pt>
                <c:pt idx="3">
                  <c:v>27</c:v>
                </c:pt>
                <c:pt idx="4">
                  <c:v>38</c:v>
                </c:pt>
                <c:pt idx="5">
                  <c:v>26</c:v>
                </c:pt>
                <c:pt idx="6">
                  <c:v>34</c:v>
                </c:pt>
              </c:numCache>
            </c:numRef>
          </c:val>
          <c:extLst>
            <c:ext xmlns:c16="http://schemas.microsoft.com/office/drawing/2014/chart" uri="{C3380CC4-5D6E-409C-BE32-E72D297353CC}">
              <c16:uniqueId val="{00000000-2A68-4191-86C0-033FEC83A5A3}"/>
            </c:ext>
          </c:extLst>
        </c:ser>
        <c:dLbls>
          <c:dLblPos val="outEnd"/>
          <c:showLegendKey val="0"/>
          <c:showVal val="1"/>
          <c:showCatName val="0"/>
          <c:showSerName val="0"/>
          <c:showPercent val="0"/>
          <c:showBubbleSize val="0"/>
        </c:dLbls>
        <c:gapWidth val="115"/>
        <c:overlap val="-20"/>
        <c:axId val="1761976831"/>
        <c:axId val="1761977247"/>
      </c:barChart>
      <c:catAx>
        <c:axId val="1761976831"/>
        <c:scaling>
          <c:orientation val="minMax"/>
        </c:scaling>
        <c:delete val="1"/>
        <c:axPos val="l"/>
        <c:numFmt formatCode="General" sourceLinked="1"/>
        <c:majorTickMark val="out"/>
        <c:minorTickMark val="none"/>
        <c:tickLblPos val="nextTo"/>
        <c:crossAx val="1761977247"/>
        <c:crosses val="autoZero"/>
        <c:auto val="1"/>
        <c:lblAlgn val="ctr"/>
        <c:lblOffset val="100"/>
        <c:noMultiLvlLbl val="0"/>
      </c:catAx>
      <c:valAx>
        <c:axId val="1761977247"/>
        <c:scaling>
          <c:orientation val="minMax"/>
        </c:scaling>
        <c:delete val="1"/>
        <c:axPos val="b"/>
        <c:numFmt formatCode="#,##0" sourceLinked="1"/>
        <c:majorTickMark val="out"/>
        <c:minorTickMark val="none"/>
        <c:tickLblPos val="nextTo"/>
        <c:crossAx val="176197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Female vs Male Callers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78456721835383E-2"/>
          <c:y val="0.16551856234733664"/>
          <c:w val="0.85720977561868139"/>
          <c:h val="0.6158472769028871"/>
        </c:manualLayout>
      </c:layout>
      <c:barChart>
        <c:barDir val="col"/>
        <c:grouping val="percentStacked"/>
        <c:varyColors val="0"/>
        <c:ser>
          <c:idx val="0"/>
          <c:order val="0"/>
          <c:tx>
            <c:strRef>
              <c:f>Pivots!$B$51:$B$52</c:f>
              <c:strCache>
                <c:ptCount val="1"/>
                <c:pt idx="0">
                  <c:v>Female</c:v>
                </c:pt>
              </c:strCache>
            </c:strRef>
          </c:tx>
          <c:spPr>
            <a:solidFill>
              <a:schemeClr val="accent6"/>
            </a:solidFill>
            <a:ln>
              <a:noFill/>
            </a:ln>
            <a:effectLst/>
          </c:spPr>
          <c:invertIfNegative val="0"/>
          <c:cat>
            <c:strRef>
              <c:f>Pivots!$A$53:$A$56</c:f>
              <c:strCache>
                <c:ptCount val="3"/>
                <c:pt idx="0">
                  <c:v>Cincinnati</c:v>
                </c:pt>
                <c:pt idx="1">
                  <c:v>Cleveland</c:v>
                </c:pt>
                <c:pt idx="2">
                  <c:v>Columbus</c:v>
                </c:pt>
              </c:strCache>
            </c:strRef>
          </c:cat>
          <c:val>
            <c:numRef>
              <c:f>Pivots!$B$53:$B$56</c:f>
              <c:numCache>
                <c:formatCode>#,##0</c:formatCode>
                <c:ptCount val="3"/>
                <c:pt idx="0">
                  <c:v>144</c:v>
                </c:pt>
                <c:pt idx="1">
                  <c:v>326</c:v>
                </c:pt>
                <c:pt idx="2">
                  <c:v>129</c:v>
                </c:pt>
              </c:numCache>
            </c:numRef>
          </c:val>
          <c:extLst>
            <c:ext xmlns:c16="http://schemas.microsoft.com/office/drawing/2014/chart" uri="{C3380CC4-5D6E-409C-BE32-E72D297353CC}">
              <c16:uniqueId val="{00000000-CA3E-4389-8147-CB7BF5AF7D8B}"/>
            </c:ext>
          </c:extLst>
        </c:ser>
        <c:ser>
          <c:idx val="1"/>
          <c:order val="1"/>
          <c:tx>
            <c:strRef>
              <c:f>Pivots!$C$51:$C$52</c:f>
              <c:strCache>
                <c:ptCount val="1"/>
                <c:pt idx="0">
                  <c:v>Male</c:v>
                </c:pt>
              </c:strCache>
            </c:strRef>
          </c:tx>
          <c:spPr>
            <a:solidFill>
              <a:schemeClr val="accent5"/>
            </a:solidFill>
            <a:ln>
              <a:noFill/>
            </a:ln>
            <a:effectLst/>
          </c:spPr>
          <c:invertIfNegative val="0"/>
          <c:cat>
            <c:strRef>
              <c:f>Pivots!$A$53:$A$56</c:f>
              <c:strCache>
                <c:ptCount val="3"/>
                <c:pt idx="0">
                  <c:v>Cincinnati</c:v>
                </c:pt>
                <c:pt idx="1">
                  <c:v>Cleveland</c:v>
                </c:pt>
                <c:pt idx="2">
                  <c:v>Columbus</c:v>
                </c:pt>
              </c:strCache>
            </c:strRef>
          </c:cat>
          <c:val>
            <c:numRef>
              <c:f>Pivots!$C$53:$C$56</c:f>
              <c:numCache>
                <c:formatCode>#,##0</c:formatCode>
                <c:ptCount val="3"/>
                <c:pt idx="0">
                  <c:v>132</c:v>
                </c:pt>
                <c:pt idx="1">
                  <c:v>63</c:v>
                </c:pt>
                <c:pt idx="2">
                  <c:v>206</c:v>
                </c:pt>
              </c:numCache>
            </c:numRef>
          </c:val>
          <c:extLst>
            <c:ext xmlns:c16="http://schemas.microsoft.com/office/drawing/2014/chart" uri="{C3380CC4-5D6E-409C-BE32-E72D297353CC}">
              <c16:uniqueId val="{00000001-CA3E-4389-8147-CB7BF5AF7D8B}"/>
            </c:ext>
          </c:extLst>
        </c:ser>
        <c:dLbls>
          <c:showLegendKey val="0"/>
          <c:showVal val="0"/>
          <c:showCatName val="0"/>
          <c:showSerName val="0"/>
          <c:showPercent val="0"/>
          <c:showBubbleSize val="0"/>
        </c:dLbls>
        <c:gapWidth val="25"/>
        <c:overlap val="100"/>
        <c:axId val="1931848527"/>
        <c:axId val="1931850607"/>
      </c:barChart>
      <c:catAx>
        <c:axId val="193184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850607"/>
        <c:crosses val="autoZero"/>
        <c:auto val="1"/>
        <c:lblAlgn val="ctr"/>
        <c:lblOffset val="100"/>
        <c:noMultiLvlLbl val="0"/>
      </c:catAx>
      <c:valAx>
        <c:axId val="1931850607"/>
        <c:scaling>
          <c:orientation val="minMax"/>
        </c:scaling>
        <c:delete val="1"/>
        <c:axPos val="l"/>
        <c:numFmt formatCode="0%" sourceLinked="1"/>
        <c:majorTickMark val="none"/>
        <c:minorTickMark val="none"/>
        <c:tickLblPos val="nextTo"/>
        <c:crossAx val="1931848527"/>
        <c:crosses val="autoZero"/>
        <c:crossBetween val="between"/>
      </c:valAx>
      <c:spPr>
        <a:noFill/>
        <a:ln>
          <a:noFill/>
        </a:ln>
        <a:effectLst/>
      </c:spPr>
    </c:plotArea>
    <c:legend>
      <c:legendPos val="b"/>
      <c:layout>
        <c:manualLayout>
          <c:xMode val="edge"/>
          <c:yMode val="edge"/>
          <c:x val="0.27506923204847322"/>
          <c:y val="0.88217038885895194"/>
          <c:w val="0.43608743121985782"/>
          <c:h val="9.24672910945305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[excel-portfolio-project.xlsx]Pivots!Rep Satisfaction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RATING</a:t>
            </a:r>
          </a:p>
        </c:rich>
      </c:tx>
      <c:layout>
        <c:manualLayout>
          <c:xMode val="edge"/>
          <c:yMode val="edge"/>
          <c:x val="3.331933508311462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pivotFmt>
    </c:pivotFmts>
    <c:plotArea>
      <c:layout>
        <c:manualLayout>
          <c:layoutTarget val="inner"/>
          <c:xMode val="edge"/>
          <c:yMode val="edge"/>
          <c:x val="9.4598354725034459E-2"/>
          <c:y val="0.22247939317978402"/>
          <c:w val="0.89019685039370078"/>
          <c:h val="0.67459135316418772"/>
        </c:manualLayout>
      </c:layout>
      <c:barChart>
        <c:barDir val="col"/>
        <c:grouping val="clustered"/>
        <c:varyColors val="0"/>
        <c:ser>
          <c:idx val="0"/>
          <c:order val="0"/>
          <c:tx>
            <c:strRef>
              <c:f>Pivots!$B$59</c:f>
              <c:strCache>
                <c:ptCount val="1"/>
                <c:pt idx="0">
                  <c:v>Total</c:v>
                </c:pt>
              </c:strCache>
            </c:strRef>
          </c:tx>
          <c:spPr>
            <a:solidFill>
              <a:schemeClr val="bg2">
                <a:lumMod val="75000"/>
              </a:schemeClr>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Pivots!$A$60:$A$66</c:f>
              <c:strCache>
                <c:ptCount val="6"/>
                <c:pt idx="0">
                  <c:v>0</c:v>
                </c:pt>
                <c:pt idx="1">
                  <c:v>1</c:v>
                </c:pt>
                <c:pt idx="2">
                  <c:v>2</c:v>
                </c:pt>
                <c:pt idx="3">
                  <c:v>3</c:v>
                </c:pt>
                <c:pt idx="4">
                  <c:v>4</c:v>
                </c:pt>
                <c:pt idx="5">
                  <c:v>5</c:v>
                </c:pt>
              </c:strCache>
            </c:strRef>
          </c:cat>
          <c:val>
            <c:numRef>
              <c:f>Pivots!$B$60:$B$66</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4E3F-4EAF-887F-8BD7EDEC2C51}"/>
            </c:ext>
          </c:extLst>
        </c:ser>
        <c:dLbls>
          <c:dLblPos val="outEnd"/>
          <c:showLegendKey val="0"/>
          <c:showVal val="1"/>
          <c:showCatName val="0"/>
          <c:showSerName val="0"/>
          <c:showPercent val="0"/>
          <c:showBubbleSize val="0"/>
        </c:dLbls>
        <c:gapWidth val="219"/>
        <c:overlap val="-27"/>
        <c:axId val="1922324111"/>
        <c:axId val="1922326191"/>
      </c:barChart>
      <c:catAx>
        <c:axId val="192232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326191"/>
        <c:crossesAt val="0"/>
        <c:auto val="1"/>
        <c:lblAlgn val="ctr"/>
        <c:lblOffset val="100"/>
        <c:noMultiLvlLbl val="0"/>
      </c:catAx>
      <c:valAx>
        <c:axId val="1922326191"/>
        <c:scaling>
          <c:orientation val="minMax"/>
          <c:max val="1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324111"/>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4</xdr:col>
      <xdr:colOff>159026</xdr:colOff>
      <xdr:row>18</xdr:row>
      <xdr:rowOff>165652</xdr:rowOff>
    </xdr:from>
    <xdr:to>
      <xdr:col>17</xdr:col>
      <xdr:colOff>536713</xdr:colOff>
      <xdr:row>34</xdr:row>
      <xdr:rowOff>139148</xdr:rowOff>
    </xdr:to>
    <xdr:sp macro="" textlink="">
      <xdr:nvSpPr>
        <xdr:cNvPr id="34" name="Rectangle 33">
          <a:extLst>
            <a:ext uri="{FF2B5EF4-FFF2-40B4-BE49-F238E27FC236}">
              <a16:creationId xmlns:a16="http://schemas.microsoft.com/office/drawing/2014/main" id="{E505E224-1A37-466B-9FD7-0FABC39EE6AA}"/>
            </a:ext>
          </a:extLst>
        </xdr:cNvPr>
        <xdr:cNvSpPr/>
      </xdr:nvSpPr>
      <xdr:spPr>
        <a:xfrm>
          <a:off x="1895061" y="3266661"/>
          <a:ext cx="9077739" cy="2729948"/>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169940</xdr:colOff>
      <xdr:row>18</xdr:row>
      <xdr:rowOff>165653</xdr:rowOff>
    </xdr:from>
    <xdr:to>
      <xdr:col>11</xdr:col>
      <xdr:colOff>43543</xdr:colOff>
      <xdr:row>38</xdr:row>
      <xdr:rowOff>10886</xdr:rowOff>
    </xdr:to>
    <xdr:graphicFrame macro="">
      <xdr:nvGraphicFramePr>
        <xdr:cNvPr id="33" name="Chart 32">
          <a:extLst>
            <a:ext uri="{FF2B5EF4-FFF2-40B4-BE49-F238E27FC236}">
              <a16:creationId xmlns:a16="http://schemas.microsoft.com/office/drawing/2014/main" id="{91376AEB-4847-4493-A936-4428AC2B1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7406</xdr:colOff>
      <xdr:row>18</xdr:row>
      <xdr:rowOff>165652</xdr:rowOff>
    </xdr:from>
    <xdr:to>
      <xdr:col>18</xdr:col>
      <xdr:colOff>0</xdr:colOff>
      <xdr:row>38</xdr:row>
      <xdr:rowOff>10886</xdr:rowOff>
    </xdr:to>
    <xdr:graphicFrame macro="">
      <xdr:nvGraphicFramePr>
        <xdr:cNvPr id="32" name="Chart 31">
          <a:extLst>
            <a:ext uri="{FF2B5EF4-FFF2-40B4-BE49-F238E27FC236}">
              <a16:creationId xmlns:a16="http://schemas.microsoft.com/office/drawing/2014/main" id="{29D5D35B-DE49-46BE-9919-A7FE44B8C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xdr:row>
      <xdr:rowOff>0</xdr:rowOff>
    </xdr:from>
    <xdr:to>
      <xdr:col>4</xdr:col>
      <xdr:colOff>0</xdr:colOff>
      <xdr:row>6</xdr:row>
      <xdr:rowOff>0</xdr:rowOff>
    </xdr:to>
    <xdr:sp macro="" textlink="Pivots!A4">
      <xdr:nvSpPr>
        <xdr:cNvPr id="2" name="Rectangle 1">
          <a:extLst>
            <a:ext uri="{FF2B5EF4-FFF2-40B4-BE49-F238E27FC236}">
              <a16:creationId xmlns:a16="http://schemas.microsoft.com/office/drawing/2014/main" id="{84F3A41E-5C48-4E8B-AD70-8FD990E7F4B3}"/>
            </a:ext>
          </a:extLst>
        </xdr:cNvPr>
        <xdr:cNvSpPr/>
      </xdr:nvSpPr>
      <xdr:spPr>
        <a:xfrm>
          <a:off x="402771" y="968829"/>
          <a:ext cx="1349829" cy="870857"/>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08E7A390-2CAE-4B6F-87B7-C408E5B9FF2B}" type="TxLink">
            <a:rPr lang="en-US" sz="3200" b="0" i="0" u="none" strike="noStrike">
              <a:solidFill>
                <a:srgbClr val="000000"/>
              </a:solidFill>
              <a:latin typeface="Aptos"/>
            </a:rPr>
            <a:pPr algn="ctr"/>
            <a:t>1,000</a:t>
          </a:fld>
          <a:endParaRPr lang="en-IN" sz="3200"/>
        </a:p>
      </xdr:txBody>
    </xdr:sp>
    <xdr:clientData/>
  </xdr:twoCellAnchor>
  <xdr:twoCellAnchor>
    <xdr:from>
      <xdr:col>2</xdr:col>
      <xdr:colOff>129540</xdr:colOff>
      <xdr:row>1</xdr:row>
      <xdr:rowOff>0</xdr:rowOff>
    </xdr:from>
    <xdr:to>
      <xdr:col>3</xdr:col>
      <xdr:colOff>541020</xdr:colOff>
      <xdr:row>2</xdr:row>
      <xdr:rowOff>30480</xdr:rowOff>
    </xdr:to>
    <xdr:sp macro="" textlink="">
      <xdr:nvSpPr>
        <xdr:cNvPr id="3" name="TextBox 2">
          <a:extLst>
            <a:ext uri="{FF2B5EF4-FFF2-40B4-BE49-F238E27FC236}">
              <a16:creationId xmlns:a16="http://schemas.microsoft.com/office/drawing/2014/main" id="{E5C01545-A938-4A0E-B240-409D1453C340}"/>
            </a:ext>
          </a:extLst>
        </xdr:cNvPr>
        <xdr:cNvSpPr txBox="1"/>
      </xdr:nvSpPr>
      <xdr:spPr>
        <a:xfrm>
          <a:off x="525780" y="175260"/>
          <a:ext cx="1082040" cy="2057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u="sng">
              <a:solidFill>
                <a:schemeClr val="tx1"/>
              </a:solidFill>
            </a:rPr>
            <a:t>CALL COUNT</a:t>
          </a:r>
        </a:p>
      </xdr:txBody>
    </xdr:sp>
    <xdr:clientData/>
  </xdr:twoCellAnchor>
  <xdr:twoCellAnchor editAs="oneCell">
    <xdr:from>
      <xdr:col>2</xdr:col>
      <xdr:colOff>896</xdr:colOff>
      <xdr:row>1</xdr:row>
      <xdr:rowOff>13449</xdr:rowOff>
    </xdr:from>
    <xdr:to>
      <xdr:col>2</xdr:col>
      <xdr:colOff>276911</xdr:colOff>
      <xdr:row>2</xdr:row>
      <xdr:rowOff>89650</xdr:rowOff>
    </xdr:to>
    <xdr:pic>
      <xdr:nvPicPr>
        <xdr:cNvPr id="4" name="Graphic 3" descr="Receiver with solid fill">
          <a:extLst>
            <a:ext uri="{FF2B5EF4-FFF2-40B4-BE49-F238E27FC236}">
              <a16:creationId xmlns:a16="http://schemas.microsoft.com/office/drawing/2014/main" id="{50683DD3-8DF0-460C-96F2-A13F678A6A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5343" y="192743"/>
          <a:ext cx="276015" cy="255494"/>
        </a:xfrm>
        <a:prstGeom prst="rect">
          <a:avLst/>
        </a:prstGeom>
      </xdr:spPr>
    </xdr:pic>
    <xdr:clientData/>
  </xdr:twoCellAnchor>
  <xdr:twoCellAnchor>
    <xdr:from>
      <xdr:col>2</xdr:col>
      <xdr:colOff>464820</xdr:colOff>
      <xdr:row>4</xdr:row>
      <xdr:rowOff>137160</xdr:rowOff>
    </xdr:from>
    <xdr:to>
      <xdr:col>3</xdr:col>
      <xdr:colOff>220980</xdr:colOff>
      <xdr:row>5</xdr:row>
      <xdr:rowOff>129540</xdr:rowOff>
    </xdr:to>
    <xdr:sp macro="" textlink="Pivots!A11">
      <xdr:nvSpPr>
        <xdr:cNvPr id="5" name="TextBox 4">
          <a:extLst>
            <a:ext uri="{FF2B5EF4-FFF2-40B4-BE49-F238E27FC236}">
              <a16:creationId xmlns:a16="http://schemas.microsoft.com/office/drawing/2014/main" id="{5915E733-22A0-4DA5-95E3-2DA1C5FDA0B5}"/>
            </a:ext>
          </a:extLst>
        </xdr:cNvPr>
        <xdr:cNvSpPr txBox="1"/>
      </xdr:nvSpPr>
      <xdr:spPr>
        <a:xfrm>
          <a:off x="861060" y="838200"/>
          <a:ext cx="426720" cy="1676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CC977C5-1BF2-4E52-9085-A53A513293E3}" type="TxLink">
            <a:rPr lang="en-US" sz="1100" b="0" i="0" u="none" strike="noStrike">
              <a:solidFill>
                <a:srgbClr val="000000"/>
              </a:solidFill>
              <a:latin typeface="Aptos"/>
            </a:rPr>
            <a:pPr/>
            <a:t>207</a:t>
          </a:fld>
          <a:endParaRPr lang="en-IN" sz="1100"/>
        </a:p>
      </xdr:txBody>
    </xdr:sp>
    <xdr:clientData/>
  </xdr:twoCellAnchor>
  <xdr:twoCellAnchor>
    <xdr:from>
      <xdr:col>2</xdr:col>
      <xdr:colOff>0</xdr:colOff>
      <xdr:row>9</xdr:row>
      <xdr:rowOff>0</xdr:rowOff>
    </xdr:from>
    <xdr:to>
      <xdr:col>4</xdr:col>
      <xdr:colOff>0</xdr:colOff>
      <xdr:row>14</xdr:row>
      <xdr:rowOff>0</xdr:rowOff>
    </xdr:to>
    <xdr:sp macro="" textlink="Pivots!B4">
      <xdr:nvSpPr>
        <xdr:cNvPr id="6" name="Rectangle 5">
          <a:extLst>
            <a:ext uri="{FF2B5EF4-FFF2-40B4-BE49-F238E27FC236}">
              <a16:creationId xmlns:a16="http://schemas.microsoft.com/office/drawing/2014/main" id="{5E8C4500-BD40-4443-A7CA-34052A6A549E}"/>
            </a:ext>
          </a:extLst>
        </xdr:cNvPr>
        <xdr:cNvSpPr/>
      </xdr:nvSpPr>
      <xdr:spPr>
        <a:xfrm>
          <a:off x="394447" y="1613647"/>
          <a:ext cx="1344706" cy="896471"/>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23F48F5D-B59D-4178-9851-6C7738B9BCD8}" type="TxLink">
            <a:rPr lang="en-US" sz="2000" b="0" i="0" u="none" strike="noStrike">
              <a:solidFill>
                <a:srgbClr val="000000"/>
              </a:solidFill>
              <a:latin typeface="Aptos"/>
            </a:rPr>
            <a:pPr algn="ctr"/>
            <a:t>$96,623</a:t>
          </a:fld>
          <a:endParaRPr lang="en-IN" sz="2000"/>
        </a:p>
      </xdr:txBody>
    </xdr:sp>
    <xdr:clientData/>
  </xdr:twoCellAnchor>
  <xdr:twoCellAnchor>
    <xdr:from>
      <xdr:col>2</xdr:col>
      <xdr:colOff>129540</xdr:colOff>
      <xdr:row>9</xdr:row>
      <xdr:rowOff>0</xdr:rowOff>
    </xdr:from>
    <xdr:to>
      <xdr:col>3</xdr:col>
      <xdr:colOff>541020</xdr:colOff>
      <xdr:row>10</xdr:row>
      <xdr:rowOff>30480</xdr:rowOff>
    </xdr:to>
    <xdr:sp macro="" textlink="">
      <xdr:nvSpPr>
        <xdr:cNvPr id="7" name="TextBox 6">
          <a:extLst>
            <a:ext uri="{FF2B5EF4-FFF2-40B4-BE49-F238E27FC236}">
              <a16:creationId xmlns:a16="http://schemas.microsoft.com/office/drawing/2014/main" id="{D74B82E0-2C35-4E2E-AC87-A9BDDC44EADD}"/>
            </a:ext>
          </a:extLst>
        </xdr:cNvPr>
        <xdr:cNvSpPr txBox="1"/>
      </xdr:nvSpPr>
      <xdr:spPr>
        <a:xfrm>
          <a:off x="525780" y="1577340"/>
          <a:ext cx="1082040" cy="2057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u="sng">
              <a:solidFill>
                <a:schemeClr val="tx1"/>
              </a:solidFill>
            </a:rPr>
            <a:t>AMOUNT</a:t>
          </a:r>
          <a:br>
            <a:rPr lang="en-IN" sz="1200" b="1" u="sng">
              <a:solidFill>
                <a:schemeClr val="tx1"/>
              </a:solidFill>
            </a:rPr>
          </a:br>
          <a:endParaRPr lang="en-IN" sz="1200" b="1" u="sng">
            <a:solidFill>
              <a:schemeClr val="tx1"/>
            </a:solidFill>
          </a:endParaRPr>
        </a:p>
      </xdr:txBody>
    </xdr:sp>
    <xdr:clientData/>
  </xdr:twoCellAnchor>
  <xdr:twoCellAnchor>
    <xdr:from>
      <xdr:col>2</xdr:col>
      <xdr:colOff>330349</xdr:colOff>
      <xdr:row>12</xdr:row>
      <xdr:rowOff>146126</xdr:rowOff>
    </xdr:from>
    <xdr:to>
      <xdr:col>3</xdr:col>
      <xdr:colOff>439270</xdr:colOff>
      <xdr:row>13</xdr:row>
      <xdr:rowOff>98613</xdr:rowOff>
    </xdr:to>
    <xdr:sp macro="" textlink="Pivots!B11">
      <xdr:nvSpPr>
        <xdr:cNvPr id="9" name="TextBox 8">
          <a:extLst>
            <a:ext uri="{FF2B5EF4-FFF2-40B4-BE49-F238E27FC236}">
              <a16:creationId xmlns:a16="http://schemas.microsoft.com/office/drawing/2014/main" id="{86A93621-FE20-497A-9E70-B20A071C7645}"/>
            </a:ext>
          </a:extLst>
        </xdr:cNvPr>
        <xdr:cNvSpPr txBox="1"/>
      </xdr:nvSpPr>
      <xdr:spPr>
        <a:xfrm>
          <a:off x="724796" y="2297655"/>
          <a:ext cx="781274" cy="131782"/>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DEB571A-6AAD-49DA-AF28-BFB7AA6F60C9}" type="TxLink">
            <a:rPr lang="en-US" sz="1100" b="0" i="0" u="none" strike="noStrike">
              <a:solidFill>
                <a:srgbClr val="000000"/>
              </a:solidFill>
              <a:latin typeface="Aptos"/>
            </a:rPr>
            <a:pPr/>
            <a:t>$20,872</a:t>
          </a:fld>
          <a:endParaRPr lang="en-IN" sz="1100"/>
        </a:p>
      </xdr:txBody>
    </xdr:sp>
    <xdr:clientData/>
  </xdr:twoCellAnchor>
  <xdr:twoCellAnchor>
    <xdr:from>
      <xdr:col>2</xdr:col>
      <xdr:colOff>0</xdr:colOff>
      <xdr:row>17</xdr:row>
      <xdr:rowOff>0</xdr:rowOff>
    </xdr:from>
    <xdr:to>
      <xdr:col>4</xdr:col>
      <xdr:colOff>0</xdr:colOff>
      <xdr:row>22</xdr:row>
      <xdr:rowOff>0</xdr:rowOff>
    </xdr:to>
    <xdr:sp macro="" textlink="Pivots!C4">
      <xdr:nvSpPr>
        <xdr:cNvPr id="10" name="Rectangle 9">
          <a:extLst>
            <a:ext uri="{FF2B5EF4-FFF2-40B4-BE49-F238E27FC236}">
              <a16:creationId xmlns:a16="http://schemas.microsoft.com/office/drawing/2014/main" id="{21EBCAFD-2E88-45AA-B3D5-9262B4D64181}"/>
            </a:ext>
          </a:extLst>
        </xdr:cNvPr>
        <xdr:cNvSpPr/>
      </xdr:nvSpPr>
      <xdr:spPr>
        <a:xfrm>
          <a:off x="396240" y="2979420"/>
          <a:ext cx="1341120" cy="8763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6B520E0D-32F9-4279-880D-41C6E7C2D028}" type="TxLink">
            <a:rPr lang="en-US" sz="2000" b="0" i="0" u="none" strike="noStrike">
              <a:solidFill>
                <a:srgbClr val="000000"/>
              </a:solidFill>
              <a:latin typeface="Aptos"/>
            </a:rPr>
            <a:pPr algn="ctr"/>
            <a:t>89,850</a:t>
          </a:fld>
          <a:endParaRPr lang="en-IN" sz="2000"/>
        </a:p>
      </xdr:txBody>
    </xdr:sp>
    <xdr:clientData/>
  </xdr:twoCellAnchor>
  <xdr:twoCellAnchor>
    <xdr:from>
      <xdr:col>2</xdr:col>
      <xdr:colOff>129540</xdr:colOff>
      <xdr:row>17</xdr:row>
      <xdr:rowOff>0</xdr:rowOff>
    </xdr:from>
    <xdr:to>
      <xdr:col>3</xdr:col>
      <xdr:colOff>541020</xdr:colOff>
      <xdr:row>18</xdr:row>
      <xdr:rowOff>30480</xdr:rowOff>
    </xdr:to>
    <xdr:sp macro="" textlink="">
      <xdr:nvSpPr>
        <xdr:cNvPr id="11" name="TextBox 10">
          <a:extLst>
            <a:ext uri="{FF2B5EF4-FFF2-40B4-BE49-F238E27FC236}">
              <a16:creationId xmlns:a16="http://schemas.microsoft.com/office/drawing/2014/main" id="{44703A87-2115-45C4-B873-F8B8FC3D7A51}"/>
            </a:ext>
          </a:extLst>
        </xdr:cNvPr>
        <xdr:cNvSpPr txBox="1"/>
      </xdr:nvSpPr>
      <xdr:spPr>
        <a:xfrm>
          <a:off x="525780" y="2979420"/>
          <a:ext cx="1082040" cy="2057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u="sng">
              <a:solidFill>
                <a:schemeClr val="tx1"/>
              </a:solidFill>
            </a:rPr>
            <a:t>DURATION</a:t>
          </a:r>
        </a:p>
      </xdr:txBody>
    </xdr:sp>
    <xdr:clientData/>
  </xdr:twoCellAnchor>
  <xdr:twoCellAnchor>
    <xdr:from>
      <xdr:col>2</xdr:col>
      <xdr:colOff>375173</xdr:colOff>
      <xdr:row>20</xdr:row>
      <xdr:rowOff>74407</xdr:rowOff>
    </xdr:from>
    <xdr:to>
      <xdr:col>3</xdr:col>
      <xdr:colOff>394447</xdr:colOff>
      <xdr:row>22</xdr:row>
      <xdr:rowOff>0</xdr:rowOff>
    </xdr:to>
    <xdr:sp macro="" textlink="Pivots!C11">
      <xdr:nvSpPr>
        <xdr:cNvPr id="13" name="TextBox 12">
          <a:extLst>
            <a:ext uri="{FF2B5EF4-FFF2-40B4-BE49-F238E27FC236}">
              <a16:creationId xmlns:a16="http://schemas.microsoft.com/office/drawing/2014/main" id="{0110432C-920F-405B-8950-BD7C21B19C4A}"/>
            </a:ext>
          </a:extLst>
        </xdr:cNvPr>
        <xdr:cNvSpPr txBox="1"/>
      </xdr:nvSpPr>
      <xdr:spPr>
        <a:xfrm>
          <a:off x="769620" y="3660289"/>
          <a:ext cx="691627" cy="284182"/>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085649E-3299-40A5-9AB7-FFB20D538473}" type="TxLink">
            <a:rPr lang="en-US" sz="1100" b="0" i="0" u="none" strike="noStrike">
              <a:solidFill>
                <a:srgbClr val="000000"/>
              </a:solidFill>
              <a:latin typeface="Aptos"/>
            </a:rPr>
            <a:pPr/>
            <a:t>17,700</a:t>
          </a:fld>
          <a:endParaRPr lang="en-IN" sz="1100"/>
        </a:p>
      </xdr:txBody>
    </xdr:sp>
    <xdr:clientData/>
  </xdr:twoCellAnchor>
  <xdr:twoCellAnchor>
    <xdr:from>
      <xdr:col>2</xdr:col>
      <xdr:colOff>0</xdr:colOff>
      <xdr:row>25</xdr:row>
      <xdr:rowOff>0</xdr:rowOff>
    </xdr:from>
    <xdr:to>
      <xdr:col>4</xdr:col>
      <xdr:colOff>0</xdr:colOff>
      <xdr:row>30</xdr:row>
      <xdr:rowOff>0</xdr:rowOff>
    </xdr:to>
    <xdr:sp macro="" textlink="Pivots!D4">
      <xdr:nvSpPr>
        <xdr:cNvPr id="14" name="Rectangle 13">
          <a:extLst>
            <a:ext uri="{FF2B5EF4-FFF2-40B4-BE49-F238E27FC236}">
              <a16:creationId xmlns:a16="http://schemas.microsoft.com/office/drawing/2014/main" id="{20B342C0-9751-420A-BC44-967A5DE1693F}"/>
            </a:ext>
          </a:extLst>
        </xdr:cNvPr>
        <xdr:cNvSpPr/>
      </xdr:nvSpPr>
      <xdr:spPr>
        <a:xfrm>
          <a:off x="396240" y="4381500"/>
          <a:ext cx="1341120" cy="8763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EAEE3AB5-5613-421A-9934-73104E8C0D04}" type="TxLink">
            <a:rPr lang="en-US" sz="3200" b="0" i="0" u="none" strike="noStrike">
              <a:solidFill>
                <a:srgbClr val="000000"/>
              </a:solidFill>
              <a:latin typeface="Aptos"/>
            </a:rPr>
            <a:pPr algn="ctr"/>
            <a:t>3.9</a:t>
          </a:fld>
          <a:endParaRPr lang="en-IN" sz="3200"/>
        </a:p>
      </xdr:txBody>
    </xdr:sp>
    <xdr:clientData/>
  </xdr:twoCellAnchor>
  <xdr:twoCellAnchor>
    <xdr:from>
      <xdr:col>2</xdr:col>
      <xdr:colOff>129540</xdr:colOff>
      <xdr:row>25</xdr:row>
      <xdr:rowOff>0</xdr:rowOff>
    </xdr:from>
    <xdr:to>
      <xdr:col>3</xdr:col>
      <xdr:colOff>541020</xdr:colOff>
      <xdr:row>26</xdr:row>
      <xdr:rowOff>30480</xdr:rowOff>
    </xdr:to>
    <xdr:sp macro="" textlink="">
      <xdr:nvSpPr>
        <xdr:cNvPr id="15" name="TextBox 14">
          <a:extLst>
            <a:ext uri="{FF2B5EF4-FFF2-40B4-BE49-F238E27FC236}">
              <a16:creationId xmlns:a16="http://schemas.microsoft.com/office/drawing/2014/main" id="{82A22336-BCEF-4EC6-9591-1155C1E43A80}"/>
            </a:ext>
          </a:extLst>
        </xdr:cNvPr>
        <xdr:cNvSpPr txBox="1"/>
      </xdr:nvSpPr>
      <xdr:spPr>
        <a:xfrm>
          <a:off x="525780" y="4381500"/>
          <a:ext cx="1082040" cy="2057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u="sng">
              <a:solidFill>
                <a:schemeClr val="tx1"/>
              </a:solidFill>
            </a:rPr>
            <a:t>AVG</a:t>
          </a:r>
          <a:r>
            <a:rPr lang="en-IN" sz="1200" b="1" u="sng" baseline="0">
              <a:solidFill>
                <a:schemeClr val="tx1"/>
              </a:solidFill>
            </a:rPr>
            <a:t> RATING</a:t>
          </a:r>
          <a:endParaRPr lang="en-IN" sz="1200" b="1" u="sng">
            <a:solidFill>
              <a:schemeClr val="tx1"/>
            </a:solidFill>
          </a:endParaRPr>
        </a:p>
      </xdr:txBody>
    </xdr:sp>
    <xdr:clientData/>
  </xdr:twoCellAnchor>
  <xdr:twoCellAnchor>
    <xdr:from>
      <xdr:col>2</xdr:col>
      <xdr:colOff>294490</xdr:colOff>
      <xdr:row>28</xdr:row>
      <xdr:rowOff>101301</xdr:rowOff>
    </xdr:from>
    <xdr:to>
      <xdr:col>3</xdr:col>
      <xdr:colOff>367552</xdr:colOff>
      <xdr:row>29</xdr:row>
      <xdr:rowOff>134471</xdr:rowOff>
    </xdr:to>
    <xdr:sp macro="" textlink="Pivots!D11">
      <xdr:nvSpPr>
        <xdr:cNvPr id="17" name="TextBox 16">
          <a:extLst>
            <a:ext uri="{FF2B5EF4-FFF2-40B4-BE49-F238E27FC236}">
              <a16:creationId xmlns:a16="http://schemas.microsoft.com/office/drawing/2014/main" id="{114A0915-8CA3-4C6D-8BC5-75434369AD11}"/>
            </a:ext>
          </a:extLst>
        </xdr:cNvPr>
        <xdr:cNvSpPr txBox="1"/>
      </xdr:nvSpPr>
      <xdr:spPr>
        <a:xfrm>
          <a:off x="688937" y="5121536"/>
          <a:ext cx="745415" cy="212464"/>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775BE2-685F-455B-A5BA-8EFF513DAD6A}" type="TxLink">
            <a:rPr lang="en-US" sz="1100" b="0" i="0" u="none" strike="noStrike">
              <a:solidFill>
                <a:srgbClr val="000000"/>
              </a:solidFill>
              <a:latin typeface="Aptos"/>
            </a:rPr>
            <a:pPr algn="ctr"/>
            <a:t>3.9</a:t>
          </a:fld>
          <a:endParaRPr lang="en-IN" sz="1100"/>
        </a:p>
      </xdr:txBody>
    </xdr:sp>
    <xdr:clientData/>
  </xdr:twoCellAnchor>
  <xdr:twoCellAnchor>
    <xdr:from>
      <xdr:col>2</xdr:col>
      <xdr:colOff>0</xdr:colOff>
      <xdr:row>33</xdr:row>
      <xdr:rowOff>0</xdr:rowOff>
    </xdr:from>
    <xdr:to>
      <xdr:col>4</xdr:col>
      <xdr:colOff>0</xdr:colOff>
      <xdr:row>38</xdr:row>
      <xdr:rowOff>0</xdr:rowOff>
    </xdr:to>
    <xdr:sp macro="" textlink="Pivots!E4">
      <xdr:nvSpPr>
        <xdr:cNvPr id="18" name="Rectangle 17">
          <a:extLst>
            <a:ext uri="{FF2B5EF4-FFF2-40B4-BE49-F238E27FC236}">
              <a16:creationId xmlns:a16="http://schemas.microsoft.com/office/drawing/2014/main" id="{40EB9815-F021-49A5-86D7-5D1E5750844E}"/>
            </a:ext>
          </a:extLst>
        </xdr:cNvPr>
        <xdr:cNvSpPr/>
      </xdr:nvSpPr>
      <xdr:spPr>
        <a:xfrm>
          <a:off x="394447" y="5916706"/>
          <a:ext cx="1344706" cy="89647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C0126726-1B2E-424E-B699-A8675151FF6D}" type="TxLink">
            <a:rPr lang="en-US" sz="3200" b="0" i="0" u="none" strike="noStrike">
              <a:solidFill>
                <a:srgbClr val="000000"/>
              </a:solidFill>
              <a:latin typeface="Aptos"/>
            </a:rPr>
            <a:pPr algn="ctr"/>
            <a:t>307</a:t>
          </a:fld>
          <a:endParaRPr lang="en-IN" sz="3200"/>
        </a:p>
      </xdr:txBody>
    </xdr:sp>
    <xdr:clientData/>
  </xdr:twoCellAnchor>
  <xdr:twoCellAnchor>
    <xdr:from>
      <xdr:col>2</xdr:col>
      <xdr:colOff>129540</xdr:colOff>
      <xdr:row>33</xdr:row>
      <xdr:rowOff>0</xdr:rowOff>
    </xdr:from>
    <xdr:to>
      <xdr:col>3</xdr:col>
      <xdr:colOff>541020</xdr:colOff>
      <xdr:row>34</xdr:row>
      <xdr:rowOff>30480</xdr:rowOff>
    </xdr:to>
    <xdr:sp macro="" textlink="">
      <xdr:nvSpPr>
        <xdr:cNvPr id="19" name="TextBox 18">
          <a:extLst>
            <a:ext uri="{FF2B5EF4-FFF2-40B4-BE49-F238E27FC236}">
              <a16:creationId xmlns:a16="http://schemas.microsoft.com/office/drawing/2014/main" id="{37879FCF-5584-415A-868F-B4BAEE3CC7C8}"/>
            </a:ext>
          </a:extLst>
        </xdr:cNvPr>
        <xdr:cNvSpPr txBox="1"/>
      </xdr:nvSpPr>
      <xdr:spPr>
        <a:xfrm>
          <a:off x="525780" y="5783580"/>
          <a:ext cx="1082040" cy="2057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u="sng">
              <a:solidFill>
                <a:schemeClr val="tx1"/>
              </a:solidFill>
            </a:rPr>
            <a:t>5*</a:t>
          </a:r>
          <a:r>
            <a:rPr lang="en-IN" sz="1200" b="1" u="sng" baseline="0">
              <a:solidFill>
                <a:schemeClr val="tx1"/>
              </a:solidFill>
            </a:rPr>
            <a:t> CALL</a:t>
          </a:r>
          <a:endParaRPr lang="en-IN" sz="1200" b="1" u="sng">
            <a:solidFill>
              <a:schemeClr val="tx1"/>
            </a:solidFill>
          </a:endParaRPr>
        </a:p>
      </xdr:txBody>
    </xdr:sp>
    <xdr:clientData/>
  </xdr:twoCellAnchor>
  <xdr:twoCellAnchor>
    <xdr:from>
      <xdr:col>2</xdr:col>
      <xdr:colOff>500680</xdr:colOff>
      <xdr:row>36</xdr:row>
      <xdr:rowOff>155089</xdr:rowOff>
    </xdr:from>
    <xdr:to>
      <xdr:col>3</xdr:col>
      <xdr:colOff>224119</xdr:colOff>
      <xdr:row>37</xdr:row>
      <xdr:rowOff>143435</xdr:rowOff>
    </xdr:to>
    <xdr:sp macro="" textlink="Pivots!E11">
      <xdr:nvSpPr>
        <xdr:cNvPr id="21" name="TextBox 20">
          <a:extLst>
            <a:ext uri="{FF2B5EF4-FFF2-40B4-BE49-F238E27FC236}">
              <a16:creationId xmlns:a16="http://schemas.microsoft.com/office/drawing/2014/main" id="{B58C1DAF-F02D-4E41-BBE3-DA85F378278A}"/>
            </a:ext>
          </a:extLst>
        </xdr:cNvPr>
        <xdr:cNvSpPr txBox="1"/>
      </xdr:nvSpPr>
      <xdr:spPr>
        <a:xfrm>
          <a:off x="895127" y="6609677"/>
          <a:ext cx="395792" cy="1676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3A4DDE3-BAA9-4DFC-8EA3-BDC6D279B657}" type="TxLink">
            <a:rPr lang="en-US" sz="1100" b="0" i="0" u="none" strike="noStrike">
              <a:solidFill>
                <a:srgbClr val="000000"/>
              </a:solidFill>
              <a:latin typeface="Aptos"/>
            </a:rPr>
            <a:pPr/>
            <a:t>60</a:t>
          </a:fld>
          <a:endParaRPr lang="en-IN" sz="1100"/>
        </a:p>
      </xdr:txBody>
    </xdr:sp>
    <xdr:clientData/>
  </xdr:twoCellAnchor>
  <xdr:twoCellAnchor editAs="oneCell">
    <xdr:from>
      <xdr:col>2</xdr:col>
      <xdr:colOff>10260</xdr:colOff>
      <xdr:row>9</xdr:row>
      <xdr:rowOff>0</xdr:rowOff>
    </xdr:from>
    <xdr:to>
      <xdr:col>2</xdr:col>
      <xdr:colOff>265754</xdr:colOff>
      <xdr:row>10</xdr:row>
      <xdr:rowOff>76200</xdr:rowOff>
    </xdr:to>
    <xdr:pic>
      <xdr:nvPicPr>
        <xdr:cNvPr id="22" name="Graphic 21">
          <a:extLst>
            <a:ext uri="{FF2B5EF4-FFF2-40B4-BE49-F238E27FC236}">
              <a16:creationId xmlns:a16="http://schemas.microsoft.com/office/drawing/2014/main" id="{CC39E810-7067-42CC-8ADA-69BE437A11E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404707" y="1613647"/>
          <a:ext cx="255494" cy="255494"/>
        </a:xfrm>
        <a:prstGeom prst="rect">
          <a:avLst/>
        </a:prstGeom>
      </xdr:spPr>
    </xdr:pic>
    <xdr:clientData/>
  </xdr:twoCellAnchor>
  <xdr:twoCellAnchor editAs="oneCell">
    <xdr:from>
      <xdr:col>2</xdr:col>
      <xdr:colOff>21018</xdr:colOff>
      <xdr:row>16</xdr:row>
      <xdr:rowOff>173468</xdr:rowOff>
    </xdr:from>
    <xdr:to>
      <xdr:col>2</xdr:col>
      <xdr:colOff>276512</xdr:colOff>
      <xdr:row>18</xdr:row>
      <xdr:rowOff>70374</xdr:rowOff>
    </xdr:to>
    <xdr:pic>
      <xdr:nvPicPr>
        <xdr:cNvPr id="23" name="Graphic 22">
          <a:extLst>
            <a:ext uri="{FF2B5EF4-FFF2-40B4-BE49-F238E27FC236}">
              <a16:creationId xmlns:a16="http://schemas.microsoft.com/office/drawing/2014/main" id="{86D50157-7125-4AD1-8837-B389CACEF40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415465" y="3042174"/>
          <a:ext cx="255494" cy="255494"/>
        </a:xfrm>
        <a:prstGeom prst="rect">
          <a:avLst/>
        </a:prstGeom>
      </xdr:spPr>
    </xdr:pic>
    <xdr:clientData/>
  </xdr:twoCellAnchor>
  <xdr:twoCellAnchor editAs="oneCell">
    <xdr:from>
      <xdr:col>2</xdr:col>
      <xdr:colOff>3088</xdr:colOff>
      <xdr:row>24</xdr:row>
      <xdr:rowOff>168089</xdr:rowOff>
    </xdr:from>
    <xdr:to>
      <xdr:col>2</xdr:col>
      <xdr:colOff>258582</xdr:colOff>
      <xdr:row>26</xdr:row>
      <xdr:rowOff>64995</xdr:rowOff>
    </xdr:to>
    <xdr:pic>
      <xdr:nvPicPr>
        <xdr:cNvPr id="24" name="Graphic 23">
          <a:extLst>
            <a:ext uri="{FF2B5EF4-FFF2-40B4-BE49-F238E27FC236}">
              <a16:creationId xmlns:a16="http://schemas.microsoft.com/office/drawing/2014/main" id="{60B3F288-BB22-49C0-A130-3ED61705F33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397535" y="4471148"/>
          <a:ext cx="255494" cy="255494"/>
        </a:xfrm>
        <a:prstGeom prst="rect">
          <a:avLst/>
        </a:prstGeom>
      </xdr:spPr>
    </xdr:pic>
    <xdr:clientData/>
  </xdr:twoCellAnchor>
  <xdr:twoCellAnchor editAs="oneCell">
    <xdr:from>
      <xdr:col>2</xdr:col>
      <xdr:colOff>53802</xdr:colOff>
      <xdr:row>33</xdr:row>
      <xdr:rowOff>37139</xdr:rowOff>
    </xdr:from>
    <xdr:to>
      <xdr:col>2</xdr:col>
      <xdr:colOff>309296</xdr:colOff>
      <xdr:row>34</xdr:row>
      <xdr:rowOff>113339</xdr:rowOff>
    </xdr:to>
    <xdr:pic>
      <xdr:nvPicPr>
        <xdr:cNvPr id="25" name="Graphic 24">
          <a:extLst>
            <a:ext uri="{FF2B5EF4-FFF2-40B4-BE49-F238E27FC236}">
              <a16:creationId xmlns:a16="http://schemas.microsoft.com/office/drawing/2014/main" id="{0AFF0D76-9441-44EA-805E-7A951665CBC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rcRect/>
        <a:stretch/>
      </xdr:blipFill>
      <xdr:spPr>
        <a:xfrm>
          <a:off x="456573" y="5784796"/>
          <a:ext cx="255494" cy="250372"/>
        </a:xfrm>
        <a:prstGeom prst="rect">
          <a:avLst/>
        </a:prstGeom>
      </xdr:spPr>
    </xdr:pic>
    <xdr:clientData/>
  </xdr:twoCellAnchor>
  <xdr:twoCellAnchor>
    <xdr:from>
      <xdr:col>4</xdr:col>
      <xdr:colOff>152400</xdr:colOff>
      <xdr:row>1</xdr:row>
      <xdr:rowOff>65314</xdr:rowOff>
    </xdr:from>
    <xdr:to>
      <xdr:col>11</xdr:col>
      <xdr:colOff>0</xdr:colOff>
      <xdr:row>19</xdr:row>
      <xdr:rowOff>0</xdr:rowOff>
    </xdr:to>
    <xdr:graphicFrame macro="">
      <xdr:nvGraphicFramePr>
        <xdr:cNvPr id="28" name="Chart 27">
          <a:extLst>
            <a:ext uri="{FF2B5EF4-FFF2-40B4-BE49-F238E27FC236}">
              <a16:creationId xmlns:a16="http://schemas.microsoft.com/office/drawing/2014/main" id="{8A2C059D-18F5-4EE6-BD01-B6430E108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25</xdr:col>
      <xdr:colOff>21770</xdr:colOff>
      <xdr:row>1</xdr:row>
      <xdr:rowOff>97971</xdr:rowOff>
    </xdr:from>
    <xdr:to>
      <xdr:col>25</xdr:col>
      <xdr:colOff>620485</xdr:colOff>
      <xdr:row>10</xdr:row>
      <xdr:rowOff>65317</xdr:rowOff>
    </xdr:to>
    <mc:AlternateContent xmlns:mc="http://schemas.openxmlformats.org/markup-compatibility/2006">
      <mc:Choice xmlns:a14="http://schemas.microsoft.com/office/drawing/2010/main" Requires="a14">
        <xdr:graphicFrame macro="">
          <xdr:nvGraphicFramePr>
            <xdr:cNvPr id="27" name="Representative">
              <a:extLst>
                <a:ext uri="{FF2B5EF4-FFF2-40B4-BE49-F238E27FC236}">
                  <a16:creationId xmlns:a16="http://schemas.microsoft.com/office/drawing/2014/main" id="{296F4376-AEA7-45E8-957B-EE889450C19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18462170" y="1066800"/>
              <a:ext cx="598715" cy="1534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655984</xdr:colOff>
      <xdr:row>1</xdr:row>
      <xdr:rowOff>70995</xdr:rowOff>
    </xdr:from>
    <xdr:to>
      <xdr:col>16</xdr:col>
      <xdr:colOff>566058</xdr:colOff>
      <xdr:row>19</xdr:row>
      <xdr:rowOff>0</xdr:rowOff>
    </xdr:to>
    <xdr:graphicFrame macro="">
      <xdr:nvGraphicFramePr>
        <xdr:cNvPr id="29" name="Chart 28">
          <a:extLst>
            <a:ext uri="{FF2B5EF4-FFF2-40B4-BE49-F238E27FC236}">
              <a16:creationId xmlns:a16="http://schemas.microsoft.com/office/drawing/2014/main" id="{67C53D78-E608-484E-A127-9A46AB3AF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576944</xdr:colOff>
      <xdr:row>1</xdr:row>
      <xdr:rowOff>87086</xdr:rowOff>
    </xdr:from>
    <xdr:to>
      <xdr:col>21</xdr:col>
      <xdr:colOff>10886</xdr:colOff>
      <xdr:row>18</xdr:row>
      <xdr:rowOff>163286</xdr:rowOff>
    </xdr:to>
    <xdr:graphicFrame macro="">
      <xdr:nvGraphicFramePr>
        <xdr:cNvPr id="35" name="Chart 34">
          <a:extLst>
            <a:ext uri="{FF2B5EF4-FFF2-40B4-BE49-F238E27FC236}">
              <a16:creationId xmlns:a16="http://schemas.microsoft.com/office/drawing/2014/main" id="{8180E5C1-60BA-4922-9F07-050F83A2A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936170</xdr:colOff>
      <xdr:row>1</xdr:row>
      <xdr:rowOff>87086</xdr:rowOff>
    </xdr:from>
    <xdr:to>
      <xdr:col>24</xdr:col>
      <xdr:colOff>1175657</xdr:colOff>
      <xdr:row>18</xdr:row>
      <xdr:rowOff>0</xdr:rowOff>
    </xdr:to>
    <xdr:graphicFrame macro="">
      <xdr:nvGraphicFramePr>
        <xdr:cNvPr id="36" name="Chart 35">
          <a:extLst>
            <a:ext uri="{FF2B5EF4-FFF2-40B4-BE49-F238E27FC236}">
              <a16:creationId xmlns:a16="http://schemas.microsoft.com/office/drawing/2014/main" id="{5A9A5C05-9F9A-4002-A083-63E371943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3.25757E-7</cdr:y>
    </cdr:from>
    <cdr:to>
      <cdr:x>0.51566</cdr:x>
      <cdr:y>0.21277</cdr:y>
    </cdr:to>
    <cdr:sp macro="" textlink="">
      <cdr:nvSpPr>
        <cdr:cNvPr id="2" name="TextBox 1">
          <a:extLst xmlns:a="http://schemas.openxmlformats.org/drawingml/2006/main">
            <a:ext uri="{FF2B5EF4-FFF2-40B4-BE49-F238E27FC236}">
              <a16:creationId xmlns:a16="http://schemas.microsoft.com/office/drawing/2014/main" id="{08D45FB7-4A33-40BE-AF7B-461EBD72DA5A}"/>
            </a:ext>
          </a:extLst>
        </cdr:cNvPr>
        <cdr:cNvSpPr txBox="1"/>
      </cdr:nvSpPr>
      <cdr:spPr>
        <a:xfrm xmlns:a="http://schemas.openxmlformats.org/drawingml/2006/main">
          <a:off x="0" y="1"/>
          <a:ext cx="2294708" cy="6531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2800" b="1" u="none">
              <a:solidFill>
                <a:schemeClr val="bg1"/>
              </a:solidFill>
            </a:rPr>
            <a:t>CALLS TREND</a:t>
          </a: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athak" refreshedDate="45833.577708217592" backgroundQuery="1" createdVersion="7" refreshedVersion="7" minRefreshableVersion="3" recordCount="0" supportSubquery="1" supportAdvancedDrill="1" xr:uid="{81FE329B-5D03-43CC-A166-46C5A0377CF5}">
  <cacheSource type="external" connectionId="1"/>
  <cacheFields count="3">
    <cacheField name="[Measures].[Call Count]" caption="Call Count" numFmtId="0" hierarchy="17" level="32767"/>
    <cacheField name="[Measures].[Toatal Amount]" caption="Toatal Amount" numFmtId="0" hierarchy="18" level="32767"/>
    <cacheField name="[calls].[Representative].[Representative]" caption="Representative" numFmtId="0" hierarchy="3" level="1">
      <sharedItems count="5">
        <s v="R01"/>
        <s v="R02"/>
        <s v="R03"/>
        <s v="R04"/>
        <s v="R05"/>
      </sharedItems>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atal Amount]" caption="Toatal Amount" measure="1" displayFolder="" measureGroup="calls" count="0" oneField="1">
      <fieldsUsage count="1">
        <fieldUsage x="1"/>
      </fieldsUsage>
    </cacheHierarchy>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athak" refreshedDate="45833.577709143516" backgroundQuery="1" createdVersion="7" refreshedVersion="7" minRefreshableVersion="3" recordCount="0" supportSubquery="1" supportAdvancedDrill="1" xr:uid="{E5F0801B-0A0A-48E5-9FFB-42BB3096B6ED}">
  <cacheSource type="external" connectionId="1"/>
  <cacheFields count="5">
    <cacheField name="[Measures].[Call Count]" caption="Call Count" numFmtId="0" hierarchy="17" level="32767"/>
    <cacheField name="[Measures].[Toatal Amount]" caption="Toatal Amount" numFmtId="0" hierarchy="18" level="32767"/>
    <cacheField name="[Measures].[Avg Rating]" caption="Avg Rating" numFmtId="0" hierarchy="19" level="32767"/>
    <cacheField name="[Measures].[5* CALLS]" caption="5* CALLS" numFmtId="0" hierarchy="20" level="32767"/>
    <cacheField name="[Measures].[Sum of Duration]" caption="Sum of Duration" numFmtId="0" hierarchy="28"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atal Amount]" caption="Toatal Amount" measure="1" displayFolder="" measureGroup="calls" count="0" oneField="1">
      <fieldsUsage count="1">
        <fieldUsage x="1"/>
      </fieldsUsage>
    </cacheHierarchy>
    <cacheHierarchy uniqueName="[Measures].[Avg Rating]" caption="Avg Rating" measure="1" displayFolder="" measureGroup="calls" count="0" oneField="1">
      <fieldsUsage count="1">
        <fieldUsage x="2"/>
      </fieldsUsage>
    </cacheHierarchy>
    <cacheHierarchy uniqueName="[Measures].[5* CALLS]" caption="5* CALLS"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Duration]" caption="Sum of Duration" measure="1" displayFolder="" measureGroup="calls" count="0" oneField="1" hidden="1">
      <fieldsUsage count="1">
        <fieldUsage x="4"/>
      </fieldsUsage>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athak" refreshedDate="45833.577710185185" backgroundQuery="1" createdVersion="7" refreshedVersion="7" minRefreshableVersion="3" recordCount="0" supportSubquery="1" supportAdvancedDrill="1" xr:uid="{4CEA8AAE-A7D9-48A7-BE5F-639369005105}">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atal Amount]" caption="Toatal Amount"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athak" refreshedDate="45833.581364814818" backgroundQuery="1" createdVersion="7" refreshedVersion="7" minRefreshableVersion="3" recordCount="0" supportSubquery="1" supportAdvancedDrill="1" xr:uid="{19A2A755-E641-4A37-A645-C8E1F69AD2FA}">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atal Amount]" caption="Toatal Amount" numFmtId="0" hierarchy="18"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atal Amount]" caption="Toatal Amount" measure="1" displayFolder="" measureGroup="calls" count="0" oneField="1">
      <fieldsUsage count="1">
        <fieldUsage x="3"/>
      </fieldsUsage>
    </cacheHierarchy>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athak" refreshedDate="45833.654171759263" backgroundQuery="1" createdVersion="7" refreshedVersion="7" minRefreshableVersion="3" recordCount="0" supportSubquery="1" supportAdvancedDrill="1" xr:uid="{FEC00C47-0E39-47F6-97E9-3EC21ADEDD1B}">
  <cacheSource type="external" connectionId="1"/>
  <cacheFields count="6">
    <cacheField name="[Measures].[Call Count]" caption="Call Count" numFmtId="0" hierarchy="17" level="32767"/>
    <cacheField name="[Measures].[Toatal Amount]" caption="Toatal Amount" numFmtId="0" hierarchy="18" level="32767"/>
    <cacheField name="[Measures].[Avg Rating]" caption="Avg Rating" numFmtId="0" hierarchy="19" level="32767"/>
    <cacheField name="[Measures].[5* CALLS]" caption="5* CALLS" numFmtId="0" hierarchy="20" level="32767"/>
    <cacheField name="[Measures].[Sum of Duration]" caption="Sum of Duration" numFmtId="0" hierarchy="28" level="32767"/>
    <cacheField name="[calls].[Representative].[Representative]" caption="Representative" numFmtId="0" hierarchy="3" level="1">
      <sharedItems containsSemiMixedTypes="0" containsNonDate="0" containsString="0"/>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atal Amount]" caption="Toatal Amount" measure="1" displayFolder="" measureGroup="calls" count="0" oneField="1">
      <fieldsUsage count="1">
        <fieldUsage x="1"/>
      </fieldsUsage>
    </cacheHierarchy>
    <cacheHierarchy uniqueName="[Measures].[Avg Rating]" caption="Avg Rating" measure="1" displayFolder="" measureGroup="calls" count="0" oneField="1">
      <fieldsUsage count="1">
        <fieldUsage x="2"/>
      </fieldsUsage>
    </cacheHierarchy>
    <cacheHierarchy uniqueName="[Measures].[5* CALLS]" caption="5* CALLS"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Duration]" caption="Sum of Duration" measure="1" displayFolder="" measureGroup="calls" count="0" oneField="1" hidden="1">
      <fieldsUsage count="1">
        <fieldUsage x="4"/>
      </fieldsUsage>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athak" refreshedDate="45833.654172337963" backgroundQuery="1" createdVersion="7" refreshedVersion="7" minRefreshableVersion="3" recordCount="0" supportSubquery="1" supportAdvancedDrill="1" xr:uid="{BE36FA0D-792F-45DF-9606-888C4CB1AEC6}">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1-31T00:00:00" count="13">
        <d v="2023-01-01T00:00:00"/>
        <d v="2023-01-03T00:00:00"/>
        <d v="2023-01-04T00:00:00"/>
        <d v="2023-01-05T00:00:00"/>
        <d v="2023-01-08T00:00:00"/>
        <d v="2023-01-14T00:00:00"/>
        <d v="2023-01-16T00:00:00"/>
        <d v="2023-01-18T00:00:00"/>
        <d v="2023-01-20T00:00:00"/>
        <d v="2023-01-23T00:00:00"/>
        <d v="2023-01-24T00:00:00"/>
        <d v="2023-01-26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31" level="32767">
      <extLst>
        <ext xmlns:x14="http://schemas.microsoft.com/office/spreadsheetml/2009/9/main" uri="{63CAB8AC-B538-458d-9737-405883B0398D}">
          <x14:cacheField ignore="1"/>
        </ext>
      </extLst>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atal Amount]" caption="Toatal Amount"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athak" refreshedDate="45833.654172800925" backgroundQuery="1" createdVersion="7" refreshedVersion="7" minRefreshableVersion="3" recordCount="0" supportSubquery="1" supportAdvancedDrill="1" xr:uid="{04518180-F034-4465-88F0-08ADFE45460D}">
  <cacheSource type="external" connectionId="1"/>
  <cacheFields count="3">
    <cacheField name="[calls].[Representative].[Representative]" caption="Representative" numFmtId="0" hierarchy="3" level="1">
      <sharedItems containsSemiMixedTypes="0" containsNonDate="0" containsString="0"/>
    </cacheField>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atal Amount]" caption="Toatal Amount"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athak" refreshedDate="45833.654173148148" backgroundQuery="1" createdVersion="7" refreshedVersion="7" minRefreshableVersion="3" recordCount="0" supportSubquery="1" supportAdvancedDrill="1" xr:uid="{20C7060B-E905-4A7F-B25C-EF91C17EE392}">
  <cacheSource type="external" connectionId="1"/>
  <cacheFields count="1">
    <cacheField name="[calls].[Representative].[Representative]" caption="Representative" numFmtId="0" hierarchy="3" level="1">
      <sharedItems count="1">
        <s v="R03"/>
      </sharedItems>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atal Amount]" caption="Toatal Amount"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athak" refreshedDate="45833.654173495372" backgroundQuery="1" createdVersion="7" refreshedVersion="7" minRefreshableVersion="3" recordCount="0" supportSubquery="1" supportAdvancedDrill="1" xr:uid="{7638D285-8AFA-4074-BA66-5F2F9A2C2962}">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atal Amount]" caption="Toatal Amount"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athak" refreshedDate="45833.577710879632" backgroundQuery="1" createdVersion="3" refreshedVersion="7" minRefreshableVersion="3" recordCount="0" supportSubquery="1" supportAdvancedDrill="1" xr:uid="{601BC725-7138-4C7F-8B95-8FEF4FBFB946}">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atal Amount]" caption="Toatal Amount"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1514006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3EE6CF-4951-4271-964A-8E1790E3467F}" name="Rep Satisfaction" cacheId="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A59:B66" firstHeaderRow="1" firstDataRow="1" firstDataCol="1"/>
  <pivotFields count="3">
    <pivotField dataField="1" subtotalTop="0" showAll="0" defaultSubtotal="0"/>
    <pivotField axis="axisRow" allDrilled="1" subtotalTop="0" showAll="0" includeNewItemsInFilter="1"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4"/>
          </reference>
        </references>
      </pivotArea>
    </chartFormat>
  </chartFormats>
  <pivotHierarchies count="31">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F0AA81-B086-4DE5-BBBC-EC322BD89A8B}" name="Monthy return" cacheId="1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16:C2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EF4660-E02F-44C8-ACBE-9303CB0A5E8E}"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51:D5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DE52F-F6C5-49CF-8AA6-B765FCC07C67}" name="Red Pivot" cacheId="1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name="Sum of Duration" fld="4" baseField="0" baseItem="0" numFmtId="3"/>
    <dataField fld="2" subtotal="count" baseField="0" baseItem="0"/>
    <dataField fld="3" subtotal="count" baseField="0" baseItem="0"/>
  </dataFields>
  <pivotHierarchies count="31">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7FD3F0-E82D-4F03-A7E6-B7273300A8CD}" name="Summary Pivot"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name="Sum of Duration" fld="4" baseField="0" baseItem="0" numFmtId="3"/>
    <dataField fld="2" subtotal="count" baseField="0" baseItem="0"/>
    <dataField fld="3"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36D339-04D3-43C2-A359-D2DA1CE17E7B}" name="Sel. Reps" cacheId="1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A44:A4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BB4777-6C3A-4DAC-ADC0-77F59B124FCB}" name="REPS PIVOT"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4:C40"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18FF45-1ECA-402E-BA3A-960C410A3189}" name="Weekday return" cacheId="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0">
  <location ref="F16:G24"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7">
        <item x="3"/>
        <item x="2"/>
        <item x="0"/>
        <item x="4"/>
        <item x="6"/>
        <item x="5"/>
        <item x="1"/>
      </items>
    </pivotField>
  </pivotFields>
  <rowFields count="1">
    <field x="2"/>
  </rowFields>
  <rowItems count="8">
    <i>
      <x/>
    </i>
    <i>
      <x v="1"/>
    </i>
    <i>
      <x v="2"/>
    </i>
    <i>
      <x v="3"/>
    </i>
    <i>
      <x v="4"/>
    </i>
    <i>
      <x v="5"/>
    </i>
    <i>
      <x v="6"/>
    </i>
    <i t="grand">
      <x/>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3E739F-8652-4AB1-B02C-8B69399694E7}" name="REp Amounts" cacheId="13"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4">
  <location ref="A69:G8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CA8160A-9952-4E3E-9067-534725907A2F}" sourceName="[calls].[Representative]">
  <pivotTables>
    <pivotTable tabId="7" name="Red Pivot"/>
    <pivotTable tabId="7" name="Monthy return"/>
    <pivotTable tabId="7" name="Weekday return"/>
    <pivotTable tabId="7" name="Sel. Reps"/>
    <pivotTable tabId="7" name="Rep Satisfaction"/>
  </pivotTables>
  <data>
    <olap pivotCacheId="115140064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F78C79F-8630-4310-804E-26DB3132500E}" cache="Slicer_Representative" caption="Representative" showCaption="0" level="1"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H1" zoomScale="115" zoomScaleNormal="115" workbookViewId="0">
      <selection activeCell="I24" sqref="I24"/>
    </sheetView>
  </sheetViews>
  <sheetFormatPr defaultRowHeight="13.8"/>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0689A-BFD1-4E07-856D-E2D62118CF2A}">
  <dimension ref="A3:I88"/>
  <sheetViews>
    <sheetView topLeftCell="A7" workbookViewId="0">
      <selection activeCell="I15" sqref="I15"/>
    </sheetView>
  </sheetViews>
  <sheetFormatPr defaultRowHeight="13.8"/>
  <cols>
    <col min="1" max="1" width="13.09765625" bestFit="1" customWidth="1"/>
    <col min="2" max="2" width="9.8984375" bestFit="1" customWidth="1"/>
    <col min="3" max="3" width="10.8984375" bestFit="1" customWidth="1"/>
    <col min="4" max="4" width="10.5" bestFit="1" customWidth="1"/>
    <col min="5" max="5" width="9.09765625" bestFit="1" customWidth="1"/>
    <col min="6" max="6" width="13.09765625" bestFit="1" customWidth="1"/>
    <col min="7" max="7" width="9.8984375" bestFit="1" customWidth="1"/>
    <col min="8" max="8" width="13.296875" customWidth="1"/>
    <col min="9" max="9" width="12.69921875" customWidth="1"/>
  </cols>
  <sheetData>
    <row r="3" spans="1:9">
      <c r="A3" s="28" t="s">
        <v>1043</v>
      </c>
      <c r="B3" s="28" t="s">
        <v>1044</v>
      </c>
      <c r="C3" s="28" t="s">
        <v>1042</v>
      </c>
      <c r="D3" s="28" t="s">
        <v>1045</v>
      </c>
      <c r="E3" s="28" t="s">
        <v>1046</v>
      </c>
      <c r="H3" t="s">
        <v>1077</v>
      </c>
      <c r="I3" s="37">
        <f>A11/A4</f>
        <v>0.20699999999999999</v>
      </c>
    </row>
    <row r="4" spans="1:9">
      <c r="A4" s="21">
        <v>1000</v>
      </c>
      <c r="B4" s="22">
        <v>96623</v>
      </c>
      <c r="C4" s="21">
        <v>89850</v>
      </c>
      <c r="D4" s="23">
        <v>3.8854000000000033</v>
      </c>
      <c r="E4" s="24">
        <v>307</v>
      </c>
    </row>
    <row r="5" spans="1:9">
      <c r="H5" t="s">
        <v>1070</v>
      </c>
      <c r="I5">
        <f>_xlfn.XLOOKUP(A45,E35:E39,F35:F39)</f>
        <v>207</v>
      </c>
    </row>
    <row r="6" spans="1:9">
      <c r="H6" t="s">
        <v>1079</v>
      </c>
      <c r="I6" s="38">
        <f>_xlfn.XLOOKUP(A45,E35:E39,G35:G39)</f>
        <v>20872</v>
      </c>
    </row>
    <row r="8" spans="1:9">
      <c r="H8" t="s">
        <v>1078</v>
      </c>
      <c r="I8">
        <f>_xlfn.RANK.AVG(I5,F35:F39)</f>
        <v>2</v>
      </c>
    </row>
    <row r="9" spans="1:9">
      <c r="H9" t="s">
        <v>1080</v>
      </c>
      <c r="I9">
        <f>_xlfn.RANK.AVG(I6,G35:G39)</f>
        <v>1</v>
      </c>
    </row>
    <row r="10" spans="1:9">
      <c r="A10" s="28" t="s">
        <v>1043</v>
      </c>
      <c r="B10" s="28" t="s">
        <v>1044</v>
      </c>
      <c r="C10" s="28" t="s">
        <v>1042</v>
      </c>
      <c r="D10" s="28" t="s">
        <v>1045</v>
      </c>
      <c r="E10" s="28" t="s">
        <v>1046</v>
      </c>
    </row>
    <row r="11" spans="1:9">
      <c r="A11" s="21">
        <v>207</v>
      </c>
      <c r="B11" s="22">
        <v>20872</v>
      </c>
      <c r="C11" s="21">
        <v>17700</v>
      </c>
      <c r="D11" s="23">
        <v>3.8589371980676304</v>
      </c>
      <c r="E11" s="24">
        <v>60</v>
      </c>
      <c r="H11" t="s">
        <v>1081</v>
      </c>
    </row>
    <row r="12" spans="1:9">
      <c r="I12" t="str">
        <f>"Calls%:"&amp;TEXT(I3,"0%")</f>
        <v>Calls%:21%</v>
      </c>
    </row>
    <row r="13" spans="1:9">
      <c r="I13" t="str">
        <f>"Amount:"&amp;TEXT(I6,"$0")</f>
        <v>Amount:$20872</v>
      </c>
    </row>
    <row r="14" spans="1:9">
      <c r="I14" t="str">
        <f>IF(COUNTA(A45:A48)&gt;1,"","Call Rank:"&amp;I8)</f>
        <v>Call Rank:2</v>
      </c>
    </row>
    <row r="15" spans="1:9">
      <c r="I15" t="str">
        <f>IF(COUNTA(A45:A48)&gt;1,"","Amount Rank:"&amp;I9)</f>
        <v>Amount Rank:1</v>
      </c>
    </row>
    <row r="16" spans="1:9">
      <c r="A16" s="25" t="s">
        <v>1047</v>
      </c>
      <c r="B16" s="28" t="s">
        <v>1043</v>
      </c>
      <c r="C16" s="28" t="s">
        <v>1068</v>
      </c>
      <c r="F16" s="25" t="s">
        <v>1047</v>
      </c>
      <c r="G16" t="s">
        <v>1043</v>
      </c>
    </row>
    <row r="17" spans="1:7">
      <c r="A17" s="26" t="s">
        <v>1056</v>
      </c>
      <c r="B17" s="21">
        <v>13</v>
      </c>
      <c r="C17" s="21">
        <v>13</v>
      </c>
      <c r="F17" s="26" t="s">
        <v>1051</v>
      </c>
      <c r="G17" s="21">
        <v>30</v>
      </c>
    </row>
    <row r="18" spans="1:7">
      <c r="A18" s="26" t="s">
        <v>1057</v>
      </c>
      <c r="B18" s="21">
        <v>13</v>
      </c>
      <c r="C18" s="21">
        <v>13</v>
      </c>
      <c r="F18" s="26" t="s">
        <v>1050</v>
      </c>
      <c r="G18" s="21">
        <v>25</v>
      </c>
    </row>
    <row r="19" spans="1:7">
      <c r="A19" s="26" t="s">
        <v>1058</v>
      </c>
      <c r="B19" s="21">
        <v>28</v>
      </c>
      <c r="C19" s="21">
        <v>28</v>
      </c>
      <c r="F19" s="26" t="s">
        <v>1048</v>
      </c>
      <c r="G19" s="21">
        <v>27</v>
      </c>
    </row>
    <row r="20" spans="1:7">
      <c r="A20" s="26" t="s">
        <v>1059</v>
      </c>
      <c r="B20" s="21">
        <v>24</v>
      </c>
      <c r="C20" s="21">
        <v>24</v>
      </c>
      <c r="F20" s="26" t="s">
        <v>1052</v>
      </c>
      <c r="G20" s="21">
        <v>27</v>
      </c>
    </row>
    <row r="21" spans="1:7">
      <c r="A21" s="26" t="s">
        <v>1060</v>
      </c>
      <c r="B21" s="21">
        <v>23</v>
      </c>
      <c r="C21" s="21">
        <v>23</v>
      </c>
      <c r="F21" s="26" t="s">
        <v>1054</v>
      </c>
      <c r="G21" s="21">
        <v>38</v>
      </c>
    </row>
    <row r="22" spans="1:7">
      <c r="A22" s="26" t="s">
        <v>1061</v>
      </c>
      <c r="B22" s="21">
        <v>17</v>
      </c>
      <c r="C22" s="21">
        <v>17</v>
      </c>
      <c r="F22" s="26" t="s">
        <v>1053</v>
      </c>
      <c r="G22" s="21">
        <v>26</v>
      </c>
    </row>
    <row r="23" spans="1:7">
      <c r="A23" s="26" t="s">
        <v>1062</v>
      </c>
      <c r="B23" s="21">
        <v>11</v>
      </c>
      <c r="C23" s="21">
        <v>11</v>
      </c>
      <c r="F23" s="26" t="s">
        <v>1049</v>
      </c>
      <c r="G23" s="21">
        <v>34</v>
      </c>
    </row>
    <row r="24" spans="1:7">
      <c r="A24" s="26" t="s">
        <v>1063</v>
      </c>
      <c r="B24" s="21">
        <v>11</v>
      </c>
      <c r="C24" s="21">
        <v>11</v>
      </c>
      <c r="F24" s="26" t="s">
        <v>1055</v>
      </c>
      <c r="G24" s="21">
        <v>207</v>
      </c>
    </row>
    <row r="25" spans="1:7">
      <c r="A25" s="26" t="s">
        <v>1064</v>
      </c>
      <c r="B25" s="21">
        <v>14</v>
      </c>
      <c r="C25" s="21">
        <v>14</v>
      </c>
    </row>
    <row r="26" spans="1:7">
      <c r="A26" s="26" t="s">
        <v>1065</v>
      </c>
      <c r="B26" s="21">
        <v>30</v>
      </c>
      <c r="C26" s="21">
        <v>30</v>
      </c>
    </row>
    <row r="27" spans="1:7">
      <c r="A27" s="26" t="s">
        <v>1066</v>
      </c>
      <c r="B27" s="21">
        <v>14</v>
      </c>
      <c r="C27" s="21">
        <v>14</v>
      </c>
    </row>
    <row r="28" spans="1:7">
      <c r="A28" s="26" t="s">
        <v>1067</v>
      </c>
      <c r="B28" s="21">
        <v>9</v>
      </c>
      <c r="C28" s="21">
        <v>9</v>
      </c>
    </row>
    <row r="29" spans="1:7">
      <c r="A29" s="26" t="s">
        <v>1055</v>
      </c>
      <c r="B29" s="21">
        <v>207</v>
      </c>
      <c r="C29" s="21">
        <v>207</v>
      </c>
    </row>
    <row r="34" spans="1:9">
      <c r="A34" s="25" t="s">
        <v>1047</v>
      </c>
      <c r="B34" s="28" t="s">
        <v>1043</v>
      </c>
      <c r="C34" s="28" t="s">
        <v>1044</v>
      </c>
      <c r="E34" t="s">
        <v>1069</v>
      </c>
      <c r="F34" t="s">
        <v>1071</v>
      </c>
      <c r="G34" t="s">
        <v>1072</v>
      </c>
      <c r="H34" t="s">
        <v>1073</v>
      </c>
      <c r="I34" t="s">
        <v>1074</v>
      </c>
    </row>
    <row r="35" spans="1:9">
      <c r="A35" s="26" t="s">
        <v>11</v>
      </c>
      <c r="B35" s="21">
        <v>189</v>
      </c>
      <c r="C35" s="22">
        <v>18415</v>
      </c>
      <c r="E35" s="26" t="s">
        <v>11</v>
      </c>
      <c r="F35" s="21">
        <v>189</v>
      </c>
      <c r="G35" s="29">
        <v>18415</v>
      </c>
      <c r="H35" t="e">
        <f>IF(E35=$A$45,F35,NA())</f>
        <v>#N/A</v>
      </c>
      <c r="I35" s="29" t="e">
        <f>IF($A$45=E35,G35,NA())</f>
        <v>#N/A</v>
      </c>
    </row>
    <row r="36" spans="1:9">
      <c r="A36" s="26" t="s">
        <v>9</v>
      </c>
      <c r="B36" s="21">
        <v>218</v>
      </c>
      <c r="C36" s="22">
        <v>20581</v>
      </c>
      <c r="E36" s="26" t="s">
        <v>9</v>
      </c>
      <c r="F36" s="21">
        <v>218</v>
      </c>
      <c r="G36" s="29">
        <v>20581</v>
      </c>
      <c r="H36" t="e">
        <f t="shared" ref="H36:H39" si="0">IF(E36=$A$45,F36,NA())</f>
        <v>#N/A</v>
      </c>
      <c r="I36" s="29" t="e">
        <f t="shared" ref="I36:I39" si="1">IF($A$45=E36,G36,NA())</f>
        <v>#N/A</v>
      </c>
    </row>
    <row r="37" spans="1:9">
      <c r="A37" s="26" t="s">
        <v>6</v>
      </c>
      <c r="B37" s="21">
        <v>207</v>
      </c>
      <c r="C37" s="22">
        <v>20872</v>
      </c>
      <c r="E37" s="26" t="s">
        <v>6</v>
      </c>
      <c r="F37" s="21">
        <v>207</v>
      </c>
      <c r="G37" s="29">
        <v>20872</v>
      </c>
      <c r="H37">
        <f t="shared" si="0"/>
        <v>207</v>
      </c>
      <c r="I37" s="29">
        <f t="shared" si="1"/>
        <v>20872</v>
      </c>
    </row>
    <row r="38" spans="1:9">
      <c r="A38" s="26" t="s">
        <v>13</v>
      </c>
      <c r="B38" s="21">
        <v>186</v>
      </c>
      <c r="C38" s="22">
        <v>16651</v>
      </c>
      <c r="E38" s="26" t="s">
        <v>13</v>
      </c>
      <c r="F38" s="21">
        <v>186</v>
      </c>
      <c r="G38" s="29">
        <v>16651</v>
      </c>
      <c r="H38" t="e">
        <f t="shared" si="0"/>
        <v>#N/A</v>
      </c>
      <c r="I38" s="29" t="e">
        <f t="shared" si="1"/>
        <v>#N/A</v>
      </c>
    </row>
    <row r="39" spans="1:9">
      <c r="A39" s="26" t="s">
        <v>10</v>
      </c>
      <c r="B39" s="21">
        <v>200</v>
      </c>
      <c r="C39" s="22">
        <v>20104</v>
      </c>
      <c r="E39" s="26" t="s">
        <v>10</v>
      </c>
      <c r="F39" s="21">
        <v>200</v>
      </c>
      <c r="G39" s="29">
        <v>20104</v>
      </c>
      <c r="H39" t="e">
        <f t="shared" si="0"/>
        <v>#N/A</v>
      </c>
      <c r="I39" s="29" t="e">
        <f t="shared" si="1"/>
        <v>#N/A</v>
      </c>
    </row>
    <row r="40" spans="1:9">
      <c r="A40" s="26" t="s">
        <v>1055</v>
      </c>
      <c r="B40" s="21">
        <v>1000</v>
      </c>
      <c r="C40" s="22">
        <v>96623</v>
      </c>
    </row>
    <row r="44" spans="1:9">
      <c r="A44" s="25" t="s">
        <v>1047</v>
      </c>
    </row>
    <row r="45" spans="1:9">
      <c r="A45" s="26" t="s">
        <v>6</v>
      </c>
    </row>
    <row r="51" spans="1:4">
      <c r="A51" s="25" t="s">
        <v>1043</v>
      </c>
      <c r="B51" s="25" t="s">
        <v>1075</v>
      </c>
    </row>
    <row r="52" spans="1:4">
      <c r="A52" s="25" t="s">
        <v>1047</v>
      </c>
      <c r="B52" s="28" t="s">
        <v>999</v>
      </c>
      <c r="C52" s="28" t="s">
        <v>998</v>
      </c>
      <c r="D52" s="28" t="s">
        <v>1055</v>
      </c>
    </row>
    <row r="53" spans="1:4">
      <c r="A53" s="26" t="s">
        <v>1002</v>
      </c>
      <c r="B53" s="21">
        <v>144</v>
      </c>
      <c r="C53" s="21">
        <v>132</v>
      </c>
      <c r="D53" s="21">
        <v>276</v>
      </c>
    </row>
    <row r="54" spans="1:4">
      <c r="A54" s="26" t="s">
        <v>1001</v>
      </c>
      <c r="B54" s="21">
        <v>326</v>
      </c>
      <c r="C54" s="21">
        <v>63</v>
      </c>
      <c r="D54" s="21">
        <v>389</v>
      </c>
    </row>
    <row r="55" spans="1:4">
      <c r="A55" s="26" t="s">
        <v>1000</v>
      </c>
      <c r="B55" s="21">
        <v>129</v>
      </c>
      <c r="C55" s="21">
        <v>206</v>
      </c>
      <c r="D55" s="21">
        <v>335</v>
      </c>
    </row>
    <row r="56" spans="1:4">
      <c r="A56" s="26" t="s">
        <v>1055</v>
      </c>
      <c r="B56" s="21">
        <v>599</v>
      </c>
      <c r="C56" s="21">
        <v>401</v>
      </c>
      <c r="D56" s="21">
        <v>1000</v>
      </c>
    </row>
    <row r="59" spans="1:4">
      <c r="A59" s="25" t="s">
        <v>1047</v>
      </c>
      <c r="B59" t="s">
        <v>1043</v>
      </c>
    </row>
    <row r="60" spans="1:4">
      <c r="A60" s="26">
        <v>0</v>
      </c>
      <c r="B60" s="21">
        <v>1</v>
      </c>
    </row>
    <row r="61" spans="1:4">
      <c r="A61" s="26">
        <v>1</v>
      </c>
      <c r="B61" s="21">
        <v>1</v>
      </c>
    </row>
    <row r="62" spans="1:4">
      <c r="A62" s="26">
        <v>2</v>
      </c>
      <c r="B62" s="21">
        <v>11</v>
      </c>
    </row>
    <row r="63" spans="1:4">
      <c r="A63" s="26">
        <v>3</v>
      </c>
      <c r="B63" s="21">
        <v>46</v>
      </c>
    </row>
    <row r="64" spans="1:4">
      <c r="A64" s="26">
        <v>4</v>
      </c>
      <c r="B64" s="21">
        <v>88</v>
      </c>
    </row>
    <row r="65" spans="1:7">
      <c r="A65" s="26">
        <v>5</v>
      </c>
      <c r="B65" s="21">
        <v>60</v>
      </c>
    </row>
    <row r="66" spans="1:7">
      <c r="A66" s="26" t="s">
        <v>1055</v>
      </c>
      <c r="B66" s="21">
        <v>207</v>
      </c>
    </row>
    <row r="69" spans="1:7">
      <c r="A69" s="25" t="s">
        <v>1044</v>
      </c>
      <c r="B69" s="25" t="s">
        <v>1075</v>
      </c>
    </row>
    <row r="70" spans="1:7">
      <c r="A70" s="25" t="s">
        <v>1047</v>
      </c>
      <c r="B70" s="28" t="s">
        <v>11</v>
      </c>
      <c r="C70" s="28" t="s">
        <v>9</v>
      </c>
      <c r="D70" s="28" t="s">
        <v>6</v>
      </c>
      <c r="E70" s="28" t="s">
        <v>13</v>
      </c>
      <c r="F70" s="28" t="s">
        <v>10</v>
      </c>
      <c r="G70" s="28" t="s">
        <v>1055</v>
      </c>
    </row>
    <row r="71" spans="1:7">
      <c r="A71" s="26" t="s">
        <v>1002</v>
      </c>
      <c r="B71" s="27"/>
      <c r="C71" s="27"/>
      <c r="D71" s="27"/>
      <c r="E71" s="27"/>
      <c r="F71" s="27"/>
      <c r="G71" s="27"/>
    </row>
    <row r="72" spans="1:7">
      <c r="A72" s="30" t="s">
        <v>20</v>
      </c>
      <c r="B72" s="22">
        <v>891</v>
      </c>
      <c r="C72" s="22">
        <v>1332</v>
      </c>
      <c r="D72" s="22">
        <v>1282</v>
      </c>
      <c r="E72" s="22">
        <v>739</v>
      </c>
      <c r="F72" s="22">
        <v>560</v>
      </c>
      <c r="G72" s="22">
        <v>4804</v>
      </c>
    </row>
    <row r="73" spans="1:7">
      <c r="A73" s="30" t="s">
        <v>12</v>
      </c>
      <c r="B73" s="22">
        <v>1991</v>
      </c>
      <c r="C73" s="22">
        <v>1886</v>
      </c>
      <c r="D73" s="22">
        <v>1206</v>
      </c>
      <c r="E73" s="22">
        <v>884</v>
      </c>
      <c r="F73" s="22">
        <v>1722</v>
      </c>
      <c r="G73" s="22">
        <v>7689</v>
      </c>
    </row>
    <row r="74" spans="1:7">
      <c r="A74" s="30" t="s">
        <v>8</v>
      </c>
      <c r="B74" s="22">
        <v>1163</v>
      </c>
      <c r="C74" s="22">
        <v>1180</v>
      </c>
      <c r="D74" s="22">
        <v>1616</v>
      </c>
      <c r="E74" s="22">
        <v>1043</v>
      </c>
      <c r="F74" s="22">
        <v>1747</v>
      </c>
      <c r="G74" s="22">
        <v>6749</v>
      </c>
    </row>
    <row r="75" spans="1:7">
      <c r="A75" s="30" t="s">
        <v>16</v>
      </c>
      <c r="B75" s="22">
        <v>1438</v>
      </c>
      <c r="C75" s="22">
        <v>1616</v>
      </c>
      <c r="D75" s="22">
        <v>866</v>
      </c>
      <c r="E75" s="22">
        <v>829</v>
      </c>
      <c r="F75" s="22">
        <v>2070</v>
      </c>
      <c r="G75" s="22">
        <v>6819</v>
      </c>
    </row>
    <row r="76" spans="1:7">
      <c r="A76" s="26" t="s">
        <v>1001</v>
      </c>
      <c r="B76" s="27"/>
      <c r="C76" s="27"/>
      <c r="D76" s="27"/>
      <c r="E76" s="27"/>
      <c r="F76" s="27"/>
      <c r="G76" s="27"/>
    </row>
    <row r="77" spans="1:7">
      <c r="A77" s="30" t="s">
        <v>24</v>
      </c>
      <c r="B77" s="22">
        <v>1233</v>
      </c>
      <c r="C77" s="22">
        <v>223</v>
      </c>
      <c r="D77" s="22">
        <v>1680</v>
      </c>
      <c r="E77" s="22">
        <v>990</v>
      </c>
      <c r="F77" s="22">
        <v>1508</v>
      </c>
      <c r="G77" s="22">
        <v>5634</v>
      </c>
    </row>
    <row r="78" spans="1:7">
      <c r="A78" s="30" t="s">
        <v>15</v>
      </c>
      <c r="B78" s="22">
        <v>1598</v>
      </c>
      <c r="C78" s="22">
        <v>1907</v>
      </c>
      <c r="D78" s="22">
        <v>869</v>
      </c>
      <c r="E78" s="22">
        <v>1426</v>
      </c>
      <c r="F78" s="22">
        <v>1416</v>
      </c>
      <c r="G78" s="22">
        <v>7216</v>
      </c>
    </row>
    <row r="79" spans="1:7">
      <c r="A79" s="30" t="s">
        <v>5</v>
      </c>
      <c r="B79" s="22">
        <v>900</v>
      </c>
      <c r="C79" s="22">
        <v>1016</v>
      </c>
      <c r="D79" s="22">
        <v>960</v>
      </c>
      <c r="E79" s="22">
        <v>940</v>
      </c>
      <c r="F79" s="22">
        <v>1193</v>
      </c>
      <c r="G79" s="22">
        <v>5009</v>
      </c>
    </row>
    <row r="80" spans="1:7">
      <c r="A80" s="30" t="s">
        <v>18</v>
      </c>
      <c r="B80" s="22">
        <v>900</v>
      </c>
      <c r="C80" s="22">
        <v>1470</v>
      </c>
      <c r="D80" s="22">
        <v>1617</v>
      </c>
      <c r="E80" s="22">
        <v>1314</v>
      </c>
      <c r="F80" s="22">
        <v>941</v>
      </c>
      <c r="G80" s="22">
        <v>6242</v>
      </c>
    </row>
    <row r="81" spans="1:7">
      <c r="A81" s="30" t="s">
        <v>14</v>
      </c>
      <c r="B81" s="22">
        <v>1255</v>
      </c>
      <c r="C81" s="22">
        <v>516</v>
      </c>
      <c r="D81" s="22">
        <v>1874</v>
      </c>
      <c r="E81" s="22">
        <v>1863</v>
      </c>
      <c r="F81" s="22">
        <v>1722</v>
      </c>
      <c r="G81" s="22">
        <v>7230</v>
      </c>
    </row>
    <row r="82" spans="1:7">
      <c r="A82" s="30" t="s">
        <v>19</v>
      </c>
      <c r="B82" s="22">
        <v>1138</v>
      </c>
      <c r="C82" s="22">
        <v>1898</v>
      </c>
      <c r="D82" s="22">
        <v>1482</v>
      </c>
      <c r="E82" s="22">
        <v>846</v>
      </c>
      <c r="F82" s="22">
        <v>1154</v>
      </c>
      <c r="G82" s="22">
        <v>6518</v>
      </c>
    </row>
    <row r="83" spans="1:7">
      <c r="A83" s="26" t="s">
        <v>1000</v>
      </c>
      <c r="B83" s="27"/>
      <c r="C83" s="27"/>
      <c r="D83" s="27"/>
      <c r="E83" s="27"/>
      <c r="F83" s="27"/>
      <c r="G83" s="27"/>
    </row>
    <row r="84" spans="1:7">
      <c r="A84" s="30" t="s">
        <v>17</v>
      </c>
      <c r="B84" s="22">
        <v>1655</v>
      </c>
      <c r="C84" s="22">
        <v>805</v>
      </c>
      <c r="D84" s="22">
        <v>2263</v>
      </c>
      <c r="E84" s="22">
        <v>987</v>
      </c>
      <c r="F84" s="22">
        <v>1075</v>
      </c>
      <c r="G84" s="22">
        <v>6785</v>
      </c>
    </row>
    <row r="85" spans="1:7">
      <c r="A85" s="30" t="s">
        <v>23</v>
      </c>
      <c r="B85" s="22">
        <v>1104</v>
      </c>
      <c r="C85" s="22">
        <v>2280</v>
      </c>
      <c r="D85" s="22">
        <v>1445</v>
      </c>
      <c r="E85" s="22">
        <v>1722</v>
      </c>
      <c r="F85" s="22">
        <v>1196</v>
      </c>
      <c r="G85" s="22">
        <v>7747</v>
      </c>
    </row>
    <row r="86" spans="1:7">
      <c r="A86" s="30" t="s">
        <v>7</v>
      </c>
      <c r="B86" s="22">
        <v>372</v>
      </c>
      <c r="C86" s="22">
        <v>1818</v>
      </c>
      <c r="D86" s="22">
        <v>1346</v>
      </c>
      <c r="E86" s="22">
        <v>1156</v>
      </c>
      <c r="F86" s="22">
        <v>1484</v>
      </c>
      <c r="G86" s="22">
        <v>6176</v>
      </c>
    </row>
    <row r="87" spans="1:7">
      <c r="A87" s="30" t="s">
        <v>22</v>
      </c>
      <c r="B87" s="22">
        <v>1415</v>
      </c>
      <c r="C87" s="22">
        <v>1271</v>
      </c>
      <c r="D87" s="22">
        <v>1214</v>
      </c>
      <c r="E87" s="22">
        <v>1135</v>
      </c>
      <c r="F87" s="22">
        <v>1566</v>
      </c>
      <c r="G87" s="22">
        <v>6601</v>
      </c>
    </row>
    <row r="88" spans="1:7">
      <c r="A88" s="30" t="s">
        <v>21</v>
      </c>
      <c r="B88" s="22">
        <v>1362</v>
      </c>
      <c r="C88" s="22">
        <v>1363</v>
      </c>
      <c r="D88" s="22">
        <v>1152</v>
      </c>
      <c r="E88" s="22">
        <v>777</v>
      </c>
      <c r="F88" s="22">
        <v>750</v>
      </c>
      <c r="G88" s="22">
        <v>5404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C6B79-941A-4475-95BC-EFA89C6C0297}">
  <dimension ref="A1:AJ64"/>
  <sheetViews>
    <sheetView tabSelected="1" zoomScale="70" zoomScaleNormal="70" workbookViewId="0">
      <selection activeCell="AA12" sqref="AA12"/>
    </sheetView>
  </sheetViews>
  <sheetFormatPr defaultRowHeight="13.8"/>
  <cols>
    <col min="1" max="1" width="2.3984375" customWidth="1"/>
    <col min="2" max="2" width="2.796875" customWidth="1"/>
    <col min="19" max="19" width="15.796875" customWidth="1"/>
    <col min="20" max="24" width="12.69921875" customWidth="1"/>
    <col min="25" max="25" width="15.59765625" customWidth="1"/>
  </cols>
  <sheetData>
    <row r="1" spans="1:36" ht="76.2" customHeight="1">
      <c r="A1" s="20"/>
      <c r="B1" s="20"/>
      <c r="C1" s="40" t="s">
        <v>1082</v>
      </c>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row>
    <row r="2" spans="1:36">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row>
    <row r="3" spans="1:36">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row>
    <row r="4" spans="1:36">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row>
    <row r="5" spans="1:36">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row>
    <row r="6" spans="1:36">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row>
    <row r="7" spans="1:36">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row>
    <row r="8" spans="1:36">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row>
    <row r="9" spans="1:36">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row>
    <row r="10" spans="1:36">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row>
    <row r="11" spans="1:36">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row>
    <row r="12" spans="1:36">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row>
    <row r="13" spans="1:36">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row>
    <row r="14" spans="1:36">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row>
    <row r="15" spans="1:36">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row>
    <row r="16" spans="1:3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row>
    <row r="17" spans="1:36">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row>
    <row r="18" spans="1:36">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row>
    <row r="19" spans="1:36">
      <c r="A19" s="20"/>
      <c r="B19" s="20"/>
      <c r="C19" s="20"/>
      <c r="D19" s="20"/>
      <c r="E19" s="20"/>
      <c r="F19" s="20"/>
      <c r="G19" s="20"/>
      <c r="H19" s="20"/>
      <c r="I19" s="20"/>
      <c r="J19" s="20"/>
      <c r="K19" s="20"/>
      <c r="L19" s="20"/>
      <c r="M19" s="20"/>
      <c r="N19" s="20"/>
      <c r="O19" s="20"/>
      <c r="P19" s="20"/>
      <c r="Q19" s="20"/>
      <c r="R19" s="20"/>
      <c r="S19" s="20"/>
      <c r="T19" s="20"/>
      <c r="U19" s="20"/>
      <c r="V19" s="41"/>
      <c r="W19" s="39" t="str">
        <f>Pivots!I12</f>
        <v>Calls%:21%</v>
      </c>
      <c r="X19" s="39" t="str">
        <f>Pivots!I14</f>
        <v>Call Rank:2</v>
      </c>
      <c r="Y19" s="39" t="str">
        <f>Pivots!I15</f>
        <v>Amount Rank:1</v>
      </c>
      <c r="Z19" s="20"/>
      <c r="AA19" s="20"/>
      <c r="AB19" s="20"/>
      <c r="AC19" s="20"/>
      <c r="AD19" s="20"/>
      <c r="AE19" s="20"/>
      <c r="AF19" s="20"/>
      <c r="AG19" s="20"/>
      <c r="AH19" s="20"/>
      <c r="AI19" s="20"/>
      <c r="AJ19" s="20"/>
    </row>
    <row r="20" spans="1:36">
      <c r="A20" s="20"/>
      <c r="B20" s="20"/>
      <c r="C20" s="20"/>
      <c r="D20" s="20"/>
      <c r="E20" s="20"/>
      <c r="F20" s="20"/>
      <c r="G20" s="20"/>
      <c r="H20" s="20"/>
      <c r="I20" s="20"/>
      <c r="J20" s="20"/>
      <c r="K20" s="20"/>
      <c r="L20" s="20"/>
      <c r="M20" s="20"/>
      <c r="N20" s="20"/>
      <c r="O20" s="20"/>
      <c r="P20" s="20"/>
      <c r="Q20" s="20"/>
      <c r="R20" s="20"/>
      <c r="S20" s="31"/>
      <c r="T20" s="32" t="str" cm="1">
        <f t="array" ref="T20:X20">Pivots!B70:F70</f>
        <v>R01</v>
      </c>
      <c r="U20" s="32" t="str">
        <v>R02</v>
      </c>
      <c r="V20" s="32" t="str">
        <v>R03</v>
      </c>
      <c r="W20" s="32" t="str">
        <v>R04</v>
      </c>
      <c r="X20" s="32" t="str">
        <v>R05</v>
      </c>
      <c r="Y20" s="33" t="s">
        <v>1076</v>
      </c>
      <c r="Z20" s="20"/>
      <c r="AA20" s="20"/>
      <c r="AB20" s="20"/>
      <c r="AC20" s="20"/>
      <c r="AD20" s="20"/>
      <c r="AE20" s="20"/>
      <c r="AF20" s="20"/>
      <c r="AG20" s="20"/>
      <c r="AH20" s="20"/>
      <c r="AI20" s="20"/>
      <c r="AJ20" s="20"/>
    </row>
    <row r="21" spans="1:36">
      <c r="A21" s="20"/>
      <c r="B21" s="20"/>
      <c r="C21" s="20"/>
      <c r="D21" s="20"/>
      <c r="E21" s="20"/>
      <c r="F21" s="20"/>
      <c r="G21" s="20"/>
      <c r="H21" s="20"/>
      <c r="I21" s="20"/>
      <c r="J21" s="20"/>
      <c r="K21" s="20"/>
      <c r="L21" s="20"/>
      <c r="M21" s="20"/>
      <c r="N21" s="20"/>
      <c r="O21" s="20"/>
      <c r="P21" s="20"/>
      <c r="Q21" s="20"/>
      <c r="R21" s="20"/>
      <c r="S21" s="34" t="str" cm="1">
        <f t="array" ref="S21:Y38">IF(Pivots!A71:G88="","",Pivots!A71:G88)</f>
        <v>Cincinnati</v>
      </c>
      <c r="T21" s="31" t="str">
        <v/>
      </c>
      <c r="U21" s="31" t="str">
        <v/>
      </c>
      <c r="V21" s="31" t="str">
        <v/>
      </c>
      <c r="W21" s="31" t="str">
        <v/>
      </c>
      <c r="X21" s="31" t="str">
        <v/>
      </c>
      <c r="Y21" s="31" t="str">
        <v/>
      </c>
      <c r="Z21" s="20"/>
      <c r="AA21" s="20"/>
      <c r="AB21" s="20"/>
      <c r="AC21" s="20"/>
      <c r="AD21" s="20"/>
      <c r="AE21" s="20"/>
      <c r="AF21" s="20"/>
      <c r="AG21" s="20"/>
      <c r="AH21" s="20"/>
      <c r="AI21" s="20"/>
      <c r="AJ21" s="20"/>
    </row>
    <row r="22" spans="1:36">
      <c r="A22" s="20"/>
      <c r="B22" s="20"/>
      <c r="C22" s="20"/>
      <c r="D22" s="20"/>
      <c r="E22" s="20"/>
      <c r="F22" s="20"/>
      <c r="G22" s="20"/>
      <c r="H22" s="20"/>
      <c r="I22" s="20"/>
      <c r="J22" s="20"/>
      <c r="K22" s="20"/>
      <c r="L22" s="20"/>
      <c r="M22" s="20"/>
      <c r="N22" s="20"/>
      <c r="O22" s="20"/>
      <c r="P22" s="20"/>
      <c r="Q22" s="20"/>
      <c r="R22" s="20"/>
      <c r="S22" s="35" t="str">
        <v>C0003</v>
      </c>
      <c r="T22" s="36">
        <v>891</v>
      </c>
      <c r="U22" s="36">
        <v>1332</v>
      </c>
      <c r="V22" s="36">
        <v>1282</v>
      </c>
      <c r="W22" s="36">
        <v>739</v>
      </c>
      <c r="X22" s="36">
        <v>560</v>
      </c>
      <c r="Y22" s="36">
        <v>4804</v>
      </c>
      <c r="Z22" s="20"/>
      <c r="AA22" s="20"/>
      <c r="AB22" s="20"/>
      <c r="AC22" s="20"/>
      <c r="AD22" s="20"/>
      <c r="AE22" s="20"/>
      <c r="AF22" s="20"/>
      <c r="AG22" s="20"/>
      <c r="AH22" s="20"/>
      <c r="AI22" s="20"/>
      <c r="AJ22" s="20"/>
    </row>
    <row r="23" spans="1:36">
      <c r="A23" s="20"/>
      <c r="B23" s="20"/>
      <c r="C23" s="20"/>
      <c r="D23" s="20"/>
      <c r="E23" s="20"/>
      <c r="F23" s="20"/>
      <c r="G23" s="20"/>
      <c r="H23" s="20"/>
      <c r="I23" s="20"/>
      <c r="J23" s="20"/>
      <c r="K23" s="20"/>
      <c r="L23" s="20"/>
      <c r="M23" s="20"/>
      <c r="N23" s="20"/>
      <c r="O23" s="20"/>
      <c r="P23" s="20"/>
      <c r="Q23" s="20"/>
      <c r="R23" s="20"/>
      <c r="S23" s="35" t="str">
        <v>C0004</v>
      </c>
      <c r="T23" s="36">
        <v>1991</v>
      </c>
      <c r="U23" s="36">
        <v>1886</v>
      </c>
      <c r="V23" s="36">
        <v>1206</v>
      </c>
      <c r="W23" s="36">
        <v>884</v>
      </c>
      <c r="X23" s="36">
        <v>1722</v>
      </c>
      <c r="Y23" s="36">
        <v>7689</v>
      </c>
      <c r="Z23" s="20"/>
      <c r="AA23" s="20"/>
      <c r="AB23" s="20"/>
      <c r="AC23" s="20"/>
      <c r="AD23" s="20"/>
      <c r="AE23" s="20"/>
      <c r="AF23" s="20"/>
      <c r="AG23" s="20"/>
      <c r="AH23" s="20"/>
      <c r="AI23" s="20"/>
      <c r="AJ23" s="20"/>
    </row>
    <row r="24" spans="1:36">
      <c r="A24" s="20"/>
      <c r="B24" s="20"/>
      <c r="C24" s="20"/>
      <c r="D24" s="20"/>
      <c r="E24" s="20"/>
      <c r="F24" s="20"/>
      <c r="G24" s="20"/>
      <c r="H24" s="20"/>
      <c r="I24" s="20"/>
      <c r="J24" s="20"/>
      <c r="K24" s="20"/>
      <c r="L24" s="20"/>
      <c r="M24" s="20"/>
      <c r="N24" s="20"/>
      <c r="O24" s="20"/>
      <c r="P24" s="20"/>
      <c r="Q24" s="20"/>
      <c r="R24" s="20"/>
      <c r="S24" s="35" t="str">
        <v>C0011</v>
      </c>
      <c r="T24" s="36">
        <v>1163</v>
      </c>
      <c r="U24" s="36">
        <v>1180</v>
      </c>
      <c r="V24" s="36">
        <v>1616</v>
      </c>
      <c r="W24" s="36">
        <v>1043</v>
      </c>
      <c r="X24" s="36">
        <v>1747</v>
      </c>
      <c r="Y24" s="36">
        <v>6749</v>
      </c>
      <c r="Z24" s="20"/>
      <c r="AA24" s="20"/>
      <c r="AB24" s="20"/>
      <c r="AC24" s="20"/>
      <c r="AD24" s="20"/>
      <c r="AE24" s="20"/>
      <c r="AF24" s="20"/>
      <c r="AG24" s="20"/>
      <c r="AH24" s="20"/>
      <c r="AI24" s="20"/>
      <c r="AJ24" s="20"/>
    </row>
    <row r="25" spans="1:36">
      <c r="A25" s="20"/>
      <c r="B25" s="20"/>
      <c r="C25" s="20"/>
      <c r="D25" s="20"/>
      <c r="E25" s="20"/>
      <c r="F25" s="20"/>
      <c r="G25" s="20"/>
      <c r="H25" s="20"/>
      <c r="I25" s="20"/>
      <c r="J25" s="20"/>
      <c r="K25" s="20"/>
      <c r="L25" s="20"/>
      <c r="M25" s="20"/>
      <c r="N25" s="20"/>
      <c r="O25" s="20"/>
      <c r="P25" s="20"/>
      <c r="Q25" s="20"/>
      <c r="R25" s="20"/>
      <c r="S25" s="35" t="str">
        <v>C0012</v>
      </c>
      <c r="T25" s="36">
        <v>1438</v>
      </c>
      <c r="U25" s="36">
        <v>1616</v>
      </c>
      <c r="V25" s="36">
        <v>866</v>
      </c>
      <c r="W25" s="36">
        <v>829</v>
      </c>
      <c r="X25" s="36">
        <v>2070</v>
      </c>
      <c r="Y25" s="36">
        <v>6819</v>
      </c>
      <c r="Z25" s="20"/>
      <c r="AA25" s="20"/>
      <c r="AB25" s="20"/>
      <c r="AC25" s="20"/>
      <c r="AD25" s="20"/>
      <c r="AE25" s="20"/>
      <c r="AF25" s="20"/>
      <c r="AG25" s="20"/>
      <c r="AH25" s="20"/>
      <c r="AI25" s="20"/>
      <c r="AJ25" s="20"/>
    </row>
    <row r="26" spans="1:36">
      <c r="A26" s="20"/>
      <c r="B26" s="20"/>
      <c r="C26" s="20"/>
      <c r="D26" s="20"/>
      <c r="E26" s="20"/>
      <c r="F26" s="20"/>
      <c r="G26" s="20"/>
      <c r="H26" s="20"/>
      <c r="I26" s="20"/>
      <c r="J26" s="20"/>
      <c r="K26" s="20"/>
      <c r="L26" s="20"/>
      <c r="M26" s="20"/>
      <c r="N26" s="20"/>
      <c r="O26" s="20"/>
      <c r="P26" s="20"/>
      <c r="Q26" s="20"/>
      <c r="R26" s="20"/>
      <c r="S26" s="34" t="str">
        <v>Cleveland</v>
      </c>
      <c r="T26" s="36" t="str">
        <v/>
      </c>
      <c r="U26" s="36" t="str">
        <v/>
      </c>
      <c r="V26" s="36" t="str">
        <v/>
      </c>
      <c r="W26" s="36" t="str">
        <v/>
      </c>
      <c r="X26" s="36" t="str">
        <v/>
      </c>
      <c r="Y26" s="36" t="str">
        <v/>
      </c>
      <c r="Z26" s="20"/>
      <c r="AA26" s="20"/>
      <c r="AB26" s="20"/>
      <c r="AC26" s="20"/>
      <c r="AD26" s="20"/>
      <c r="AE26" s="20"/>
      <c r="AF26" s="20"/>
      <c r="AG26" s="20"/>
      <c r="AH26" s="20"/>
      <c r="AI26" s="20"/>
      <c r="AJ26" s="20"/>
    </row>
    <row r="27" spans="1:36">
      <c r="A27" s="20"/>
      <c r="B27" s="20"/>
      <c r="C27" s="20"/>
      <c r="D27" s="20"/>
      <c r="E27" s="20"/>
      <c r="F27" s="20"/>
      <c r="G27" s="20"/>
      <c r="H27" s="20"/>
      <c r="I27" s="20"/>
      <c r="J27" s="20"/>
      <c r="K27" s="20"/>
      <c r="L27" s="20"/>
      <c r="M27" s="20"/>
      <c r="N27" s="20"/>
      <c r="O27" s="20"/>
      <c r="P27" s="20"/>
      <c r="Q27" s="20"/>
      <c r="R27" s="20"/>
      <c r="S27" s="35" t="str">
        <v>C0002</v>
      </c>
      <c r="T27" s="36">
        <v>1233</v>
      </c>
      <c r="U27" s="36">
        <v>223</v>
      </c>
      <c r="V27" s="36">
        <v>1680</v>
      </c>
      <c r="W27" s="36">
        <v>990</v>
      </c>
      <c r="X27" s="36">
        <v>1508</v>
      </c>
      <c r="Y27" s="36">
        <v>5634</v>
      </c>
      <c r="Z27" s="20"/>
      <c r="AA27" s="20"/>
      <c r="AB27" s="20"/>
      <c r="AC27" s="20"/>
      <c r="AD27" s="20"/>
      <c r="AE27" s="20"/>
      <c r="AF27" s="20"/>
      <c r="AG27" s="20"/>
      <c r="AH27" s="20"/>
      <c r="AI27" s="20"/>
      <c r="AJ27" s="20"/>
    </row>
    <row r="28" spans="1:36">
      <c r="A28" s="20"/>
      <c r="B28" s="20"/>
      <c r="C28" s="20"/>
      <c r="D28" s="20"/>
      <c r="E28" s="20"/>
      <c r="F28" s="20"/>
      <c r="G28" s="20"/>
      <c r="H28" s="20"/>
      <c r="I28" s="20"/>
      <c r="J28" s="20"/>
      <c r="K28" s="20"/>
      <c r="L28" s="20"/>
      <c r="M28" s="20"/>
      <c r="N28" s="20"/>
      <c r="O28" s="20"/>
      <c r="P28" s="20"/>
      <c r="Q28" s="20"/>
      <c r="R28" s="20"/>
      <c r="S28" s="35" t="str">
        <v>C0007</v>
      </c>
      <c r="T28" s="36">
        <v>1598</v>
      </c>
      <c r="U28" s="36">
        <v>1907</v>
      </c>
      <c r="V28" s="36">
        <v>869</v>
      </c>
      <c r="W28" s="36">
        <v>1426</v>
      </c>
      <c r="X28" s="36">
        <v>1416</v>
      </c>
      <c r="Y28" s="36">
        <v>7216</v>
      </c>
      <c r="Z28" s="20"/>
      <c r="AA28" s="20"/>
      <c r="AB28" s="20"/>
      <c r="AC28" s="20"/>
      <c r="AD28" s="20"/>
      <c r="AE28" s="20"/>
      <c r="AF28" s="20"/>
      <c r="AG28" s="20"/>
      <c r="AH28" s="20"/>
      <c r="AI28" s="20"/>
      <c r="AJ28" s="20"/>
    </row>
    <row r="29" spans="1:36">
      <c r="A29" s="20"/>
      <c r="B29" s="20"/>
      <c r="C29" s="20"/>
      <c r="D29" s="20"/>
      <c r="E29" s="20"/>
      <c r="F29" s="20"/>
      <c r="G29" s="20"/>
      <c r="H29" s="20"/>
      <c r="I29" s="20"/>
      <c r="J29" s="20"/>
      <c r="K29" s="20"/>
      <c r="L29" s="20"/>
      <c r="M29" s="20"/>
      <c r="N29" s="20"/>
      <c r="O29" s="20"/>
      <c r="P29" s="20"/>
      <c r="Q29" s="20"/>
      <c r="R29" s="20"/>
      <c r="S29" s="35" t="str">
        <v>C0008</v>
      </c>
      <c r="T29" s="36">
        <v>900</v>
      </c>
      <c r="U29" s="36">
        <v>1016</v>
      </c>
      <c r="V29" s="36">
        <v>960</v>
      </c>
      <c r="W29" s="36">
        <v>940</v>
      </c>
      <c r="X29" s="36">
        <v>1193</v>
      </c>
      <c r="Y29" s="36">
        <v>5009</v>
      </c>
      <c r="Z29" s="20"/>
      <c r="AA29" s="20"/>
      <c r="AB29" s="20"/>
      <c r="AC29" s="20"/>
      <c r="AD29" s="20"/>
      <c r="AE29" s="20"/>
      <c r="AF29" s="20"/>
      <c r="AG29" s="20"/>
      <c r="AH29" s="20"/>
      <c r="AI29" s="20"/>
      <c r="AJ29" s="20"/>
    </row>
    <row r="30" spans="1:36">
      <c r="A30" s="20"/>
      <c r="B30" s="20"/>
      <c r="C30" s="20"/>
      <c r="D30" s="20"/>
      <c r="E30" s="20"/>
      <c r="F30" s="20"/>
      <c r="G30" s="20"/>
      <c r="H30" s="20"/>
      <c r="I30" s="20"/>
      <c r="J30" s="20"/>
      <c r="K30" s="20"/>
      <c r="L30" s="20"/>
      <c r="M30" s="20"/>
      <c r="N30" s="20"/>
      <c r="O30" s="20"/>
      <c r="P30" s="20"/>
      <c r="Q30" s="20"/>
      <c r="R30" s="20"/>
      <c r="S30" s="35" t="str">
        <v>C0010</v>
      </c>
      <c r="T30" s="36">
        <v>900</v>
      </c>
      <c r="U30" s="36">
        <v>1470</v>
      </c>
      <c r="V30" s="36">
        <v>1617</v>
      </c>
      <c r="W30" s="36">
        <v>1314</v>
      </c>
      <c r="X30" s="36">
        <v>941</v>
      </c>
      <c r="Y30" s="36">
        <v>6242</v>
      </c>
      <c r="Z30" s="20"/>
      <c r="AA30" s="20"/>
      <c r="AB30" s="20"/>
      <c r="AC30" s="20"/>
      <c r="AD30" s="20"/>
      <c r="AE30" s="20"/>
      <c r="AF30" s="20"/>
      <c r="AG30" s="20"/>
      <c r="AH30" s="20"/>
      <c r="AI30" s="20"/>
      <c r="AJ30" s="20"/>
    </row>
    <row r="31" spans="1:36">
      <c r="A31" s="20"/>
      <c r="B31" s="20"/>
      <c r="C31" s="20"/>
      <c r="D31" s="20"/>
      <c r="E31" s="20"/>
      <c r="F31" s="20"/>
      <c r="G31" s="20"/>
      <c r="H31" s="20"/>
      <c r="I31" s="20"/>
      <c r="J31" s="20"/>
      <c r="K31" s="20"/>
      <c r="L31" s="20"/>
      <c r="M31" s="20"/>
      <c r="N31" s="20"/>
      <c r="O31" s="20"/>
      <c r="P31" s="20"/>
      <c r="Q31" s="20"/>
      <c r="R31" s="20"/>
      <c r="S31" s="35" t="str">
        <v>C0013</v>
      </c>
      <c r="T31" s="36">
        <v>1255</v>
      </c>
      <c r="U31" s="36">
        <v>516</v>
      </c>
      <c r="V31" s="36">
        <v>1874</v>
      </c>
      <c r="W31" s="36">
        <v>1863</v>
      </c>
      <c r="X31" s="36">
        <v>1722</v>
      </c>
      <c r="Y31" s="36">
        <v>7230</v>
      </c>
      <c r="Z31" s="20"/>
      <c r="AA31" s="20"/>
      <c r="AB31" s="20"/>
      <c r="AC31" s="20"/>
      <c r="AD31" s="20"/>
      <c r="AE31" s="20"/>
      <c r="AF31" s="20"/>
      <c r="AG31" s="20"/>
      <c r="AH31" s="20"/>
      <c r="AI31" s="20"/>
      <c r="AJ31" s="20"/>
    </row>
    <row r="32" spans="1:36">
      <c r="A32" s="20"/>
      <c r="B32" s="20"/>
      <c r="C32" s="20"/>
      <c r="D32" s="20"/>
      <c r="E32" s="20"/>
      <c r="F32" s="20"/>
      <c r="G32" s="20"/>
      <c r="H32" s="20"/>
      <c r="I32" s="20"/>
      <c r="J32" s="20"/>
      <c r="K32" s="20"/>
      <c r="L32" s="20"/>
      <c r="M32" s="20"/>
      <c r="N32" s="20"/>
      <c r="O32" s="20"/>
      <c r="P32" s="20"/>
      <c r="Q32" s="20"/>
      <c r="R32" s="20"/>
      <c r="S32" s="35" t="str">
        <v>C0015</v>
      </c>
      <c r="T32" s="36">
        <v>1138</v>
      </c>
      <c r="U32" s="36">
        <v>1898</v>
      </c>
      <c r="V32" s="36">
        <v>1482</v>
      </c>
      <c r="W32" s="36">
        <v>846</v>
      </c>
      <c r="X32" s="36">
        <v>1154</v>
      </c>
      <c r="Y32" s="36">
        <v>6518</v>
      </c>
      <c r="Z32" s="20"/>
      <c r="AA32" s="20"/>
      <c r="AB32" s="20"/>
      <c r="AC32" s="20"/>
      <c r="AD32" s="20"/>
      <c r="AE32" s="20"/>
      <c r="AF32" s="20"/>
      <c r="AG32" s="20"/>
      <c r="AH32" s="20"/>
      <c r="AI32" s="20"/>
      <c r="AJ32" s="20"/>
    </row>
    <row r="33" spans="1:36">
      <c r="A33" s="20"/>
      <c r="B33" s="20"/>
      <c r="C33" s="20"/>
      <c r="D33" s="20"/>
      <c r="E33" s="20"/>
      <c r="F33" s="20"/>
      <c r="G33" s="20"/>
      <c r="H33" s="20"/>
      <c r="I33" s="20"/>
      <c r="J33" s="20"/>
      <c r="K33" s="20"/>
      <c r="L33" s="20"/>
      <c r="M33" s="20"/>
      <c r="N33" s="20"/>
      <c r="O33" s="20"/>
      <c r="P33" s="20"/>
      <c r="Q33" s="20"/>
      <c r="R33" s="20"/>
      <c r="S33" s="34" t="str">
        <v>Columbus</v>
      </c>
      <c r="T33" s="36" t="str">
        <v/>
      </c>
      <c r="U33" s="36" t="str">
        <v/>
      </c>
      <c r="V33" s="36" t="str">
        <v/>
      </c>
      <c r="W33" s="36" t="str">
        <v/>
      </c>
      <c r="X33" s="36" t="str">
        <v/>
      </c>
      <c r="Y33" s="36" t="str">
        <v/>
      </c>
      <c r="Z33" s="20"/>
      <c r="AA33" s="20"/>
      <c r="AB33" s="20"/>
      <c r="AC33" s="20"/>
      <c r="AD33" s="20"/>
      <c r="AE33" s="20"/>
      <c r="AF33" s="20"/>
      <c r="AG33" s="20"/>
      <c r="AH33" s="20"/>
      <c r="AI33" s="20"/>
      <c r="AJ33" s="20"/>
    </row>
    <row r="34" spans="1:36">
      <c r="A34" s="20"/>
      <c r="B34" s="20"/>
      <c r="C34" s="20"/>
      <c r="D34" s="20"/>
      <c r="E34" s="20"/>
      <c r="F34" s="20"/>
      <c r="G34" s="20"/>
      <c r="H34" s="20"/>
      <c r="I34" s="20"/>
      <c r="J34" s="20"/>
      <c r="K34" s="20"/>
      <c r="L34" s="20"/>
      <c r="M34" s="20"/>
      <c r="N34" s="20"/>
      <c r="O34" s="20"/>
      <c r="P34" s="20"/>
      <c r="Q34" s="20"/>
      <c r="R34" s="20"/>
      <c r="S34" s="35" t="str">
        <v>C0001</v>
      </c>
      <c r="T34" s="36">
        <v>1655</v>
      </c>
      <c r="U34" s="36">
        <v>805</v>
      </c>
      <c r="V34" s="36">
        <v>2263</v>
      </c>
      <c r="W34" s="36">
        <v>987</v>
      </c>
      <c r="X34" s="36">
        <v>1075</v>
      </c>
      <c r="Y34" s="36">
        <v>6785</v>
      </c>
      <c r="Z34" s="20"/>
      <c r="AA34" s="20"/>
      <c r="AB34" s="20"/>
      <c r="AC34" s="20"/>
      <c r="AD34" s="20"/>
      <c r="AE34" s="20"/>
      <c r="AF34" s="20"/>
      <c r="AG34" s="20"/>
      <c r="AH34" s="20"/>
      <c r="AI34" s="20"/>
      <c r="AJ34" s="20"/>
    </row>
    <row r="35" spans="1:36">
      <c r="A35" s="20"/>
      <c r="B35" s="20"/>
      <c r="C35" s="20"/>
      <c r="D35" s="20"/>
      <c r="E35" s="20"/>
      <c r="F35" s="20"/>
      <c r="G35" s="20"/>
      <c r="H35" s="20"/>
      <c r="I35" s="20"/>
      <c r="J35" s="20"/>
      <c r="K35" s="20"/>
      <c r="L35" s="20"/>
      <c r="M35" s="20"/>
      <c r="N35" s="20"/>
      <c r="O35" s="20"/>
      <c r="P35" s="20"/>
      <c r="Q35" s="20"/>
      <c r="R35" s="20"/>
      <c r="S35" s="35" t="str">
        <v>C0005</v>
      </c>
      <c r="T35" s="36">
        <v>1104</v>
      </c>
      <c r="U35" s="36">
        <v>2280</v>
      </c>
      <c r="V35" s="36">
        <v>1445</v>
      </c>
      <c r="W35" s="36">
        <v>1722</v>
      </c>
      <c r="X35" s="36">
        <v>1196</v>
      </c>
      <c r="Y35" s="36">
        <v>7747</v>
      </c>
      <c r="Z35" s="20"/>
      <c r="AA35" s="20"/>
      <c r="AB35" s="20"/>
      <c r="AC35" s="20"/>
      <c r="AD35" s="20"/>
      <c r="AE35" s="20"/>
      <c r="AF35" s="20"/>
      <c r="AG35" s="20"/>
      <c r="AH35" s="20"/>
      <c r="AI35" s="20"/>
      <c r="AJ35" s="20"/>
    </row>
    <row r="36" spans="1:36">
      <c r="A36" s="20"/>
      <c r="B36" s="20"/>
      <c r="C36" s="20"/>
      <c r="D36" s="20"/>
      <c r="E36" s="20"/>
      <c r="F36" s="20"/>
      <c r="G36" s="20"/>
      <c r="H36" s="20"/>
      <c r="I36" s="20"/>
      <c r="J36" s="20"/>
      <c r="K36" s="20"/>
      <c r="L36" s="20"/>
      <c r="M36" s="20"/>
      <c r="N36" s="20"/>
      <c r="O36" s="20"/>
      <c r="P36" s="20"/>
      <c r="Q36" s="20"/>
      <c r="R36" s="20"/>
      <c r="S36" s="35" t="str">
        <v>C0006</v>
      </c>
      <c r="T36" s="36">
        <v>372</v>
      </c>
      <c r="U36" s="36">
        <v>1818</v>
      </c>
      <c r="V36" s="36">
        <v>1346</v>
      </c>
      <c r="W36" s="36">
        <v>1156</v>
      </c>
      <c r="X36" s="36">
        <v>1484</v>
      </c>
      <c r="Y36" s="36">
        <v>6176</v>
      </c>
      <c r="Z36" s="20"/>
      <c r="AA36" s="20"/>
      <c r="AB36" s="20"/>
      <c r="AC36" s="20"/>
      <c r="AD36" s="20"/>
      <c r="AE36" s="20"/>
      <c r="AF36" s="20"/>
      <c r="AG36" s="20"/>
      <c r="AH36" s="20"/>
      <c r="AI36" s="20"/>
      <c r="AJ36" s="20"/>
    </row>
    <row r="37" spans="1:36">
      <c r="A37" s="20"/>
      <c r="B37" s="20"/>
      <c r="C37" s="20"/>
      <c r="D37" s="20"/>
      <c r="E37" s="20"/>
      <c r="F37" s="20"/>
      <c r="G37" s="20"/>
      <c r="H37" s="20"/>
      <c r="I37" s="20"/>
      <c r="J37" s="20"/>
      <c r="K37" s="20"/>
      <c r="L37" s="20"/>
      <c r="M37" s="20"/>
      <c r="N37" s="20"/>
      <c r="O37" s="20"/>
      <c r="P37" s="20"/>
      <c r="Q37" s="20"/>
      <c r="R37" s="20"/>
      <c r="S37" s="35" t="str">
        <v>C0009</v>
      </c>
      <c r="T37" s="36">
        <v>1415</v>
      </c>
      <c r="U37" s="36">
        <v>1271</v>
      </c>
      <c r="V37" s="36">
        <v>1214</v>
      </c>
      <c r="W37" s="36">
        <v>1135</v>
      </c>
      <c r="X37" s="36">
        <v>1566</v>
      </c>
      <c r="Y37" s="36">
        <v>6601</v>
      </c>
      <c r="Z37" s="20"/>
      <c r="AA37" s="20"/>
      <c r="AB37" s="20"/>
      <c r="AC37" s="20"/>
      <c r="AD37" s="20"/>
      <c r="AE37" s="20"/>
      <c r="AF37" s="20"/>
      <c r="AG37" s="20"/>
      <c r="AH37" s="20"/>
      <c r="AI37" s="20"/>
      <c r="AJ37" s="20"/>
    </row>
    <row r="38" spans="1:36">
      <c r="A38" s="20"/>
      <c r="B38" s="20"/>
      <c r="C38" s="20"/>
      <c r="D38" s="20"/>
      <c r="E38" s="20"/>
      <c r="F38" s="20"/>
      <c r="G38" s="20"/>
      <c r="H38" s="20"/>
      <c r="I38" s="20"/>
      <c r="J38" s="20"/>
      <c r="K38" s="20"/>
      <c r="L38" s="20"/>
      <c r="M38" s="20"/>
      <c r="N38" s="20"/>
      <c r="O38" s="20"/>
      <c r="P38" s="20"/>
      <c r="Q38" s="20"/>
      <c r="R38" s="20"/>
      <c r="S38" s="35" t="str">
        <v>C0014</v>
      </c>
      <c r="T38" s="36">
        <v>1362</v>
      </c>
      <c r="U38" s="36">
        <v>1363</v>
      </c>
      <c r="V38" s="36">
        <v>1152</v>
      </c>
      <c r="W38" s="36">
        <v>777</v>
      </c>
      <c r="X38" s="36">
        <v>750</v>
      </c>
      <c r="Y38" s="36">
        <v>5404</v>
      </c>
      <c r="Z38" s="20"/>
      <c r="AA38" s="20"/>
      <c r="AB38" s="20"/>
      <c r="AC38" s="20"/>
      <c r="AD38" s="20"/>
      <c r="AE38" s="20"/>
      <c r="AF38" s="20"/>
      <c r="AG38" s="20"/>
      <c r="AH38" s="20"/>
      <c r="AI38" s="20"/>
      <c r="AJ38" s="20"/>
    </row>
    <row r="39" spans="1:36">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row>
    <row r="40" spans="1:36">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row>
    <row r="41" spans="1:36">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row>
    <row r="42" spans="1:36">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row>
    <row r="43" spans="1:36">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row>
    <row r="44" spans="1:36">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row>
    <row r="45" spans="1:36">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row>
    <row r="46" spans="1:3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row>
    <row r="47" spans="1:36">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row>
    <row r="48" spans="1:36">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row>
    <row r="49" spans="1:36">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row>
    <row r="50" spans="1:36">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row>
    <row r="51" spans="1:36">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row>
    <row r="52" spans="1:36">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row>
    <row r="53" spans="1:36">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row>
    <row r="54" spans="1:36">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row>
    <row r="55" spans="1:36">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row>
    <row r="56" spans="1:3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row>
    <row r="57" spans="1:36">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row>
    <row r="58" spans="1:36">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row>
    <row r="59" spans="1:36">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row>
    <row r="60" spans="1:36">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row>
    <row r="61" spans="1:36">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row>
    <row r="62" spans="1:36">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row>
    <row r="63" spans="1:36">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row>
    <row r="64" spans="1:36">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row>
  </sheetData>
  <conditionalFormatting sqref="T22:X38">
    <cfRule type="dataBar" priority="4">
      <dataBar>
        <cfvo type="num" val="0"/>
        <cfvo type="formula" val="MAX($T$22:$X$38)*2"/>
        <color rgb="FF638EC6"/>
      </dataBar>
      <extLst>
        <ext xmlns:x14="http://schemas.microsoft.com/office/spreadsheetml/2009/9/main" uri="{B025F937-C7B1-47D3-B67F-A62EFF666E3E}">
          <x14:id>{B99DFC21-25F4-48B1-8E25-8565B2529331}</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B99DFC21-25F4-48B1-8E25-8565B2529331}">
            <x14:dataBar minLength="0" maxLength="100" border="1" negativeBarBorderColorSameAsPositive="0">
              <x14:cfvo type="num">
                <xm:f>0</xm:f>
              </x14:cfvo>
              <x14:cfvo type="formula">
                <xm:f>MAX($T$22:$X$38)*2</xm:f>
              </x14:cfvo>
              <x14:borderColor rgb="FF638EC6"/>
              <x14:negativeFillColor rgb="FFFF0000"/>
              <x14:negativeBorderColor rgb="FFFF0000"/>
              <x14:axisColor rgb="FF000000"/>
            </x14:dataBar>
          </x14:cfRule>
          <xm:sqref>T22:X38</xm:sqref>
        </x14:conditionalFormatting>
        <x14:conditionalFormatting xmlns:xm="http://schemas.microsoft.com/office/excel/2006/main">
          <x14:cfRule type="expression" priority="1" id="{7BEFBD4D-3934-47E9-8DC2-FA67326F4783}">
            <xm:f>T$20=Pivots!$A$45</xm:f>
            <x14:dxf>
              <fill>
                <patternFill>
                  <bgColor theme="9" tint="0.59996337778862885"/>
                </patternFill>
              </fill>
              <border>
                <left style="thin">
                  <color auto="1"/>
                </left>
                <right style="thin">
                  <color auto="1"/>
                </right>
                <top style="thin">
                  <color auto="1"/>
                </top>
                <bottom style="thin">
                  <color auto="1"/>
                </bottom>
                <vertical/>
                <horizontal/>
              </border>
            </x14:dxf>
          </x14:cfRule>
          <xm:sqref>T20:X38</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C22" sqref="C22"/>
    </sheetView>
  </sheetViews>
  <sheetFormatPr defaultRowHeight="13.8"/>
  <cols>
    <col min="5" max="6" width="10.8984375" customWidth="1"/>
  </cols>
  <sheetData>
    <row r="2" spans="5:6">
      <c r="E2" t="s">
        <v>1040</v>
      </c>
      <c r="F2" t="s">
        <v>1041</v>
      </c>
    </row>
    <row r="3" spans="5:6" ht="25.5" customHeight="1">
      <c r="E3" t="s">
        <v>11</v>
      </c>
      <c r="F3" t="e" vm="1">
        <v>#VALUE!</v>
      </c>
    </row>
    <row r="4" spans="5:6" ht="25.5" customHeight="1">
      <c r="E4" t="s">
        <v>9</v>
      </c>
      <c r="F4" t="e" vm="2">
        <v>#VALUE!</v>
      </c>
    </row>
    <row r="5" spans="5:6" ht="25.5" customHeight="1">
      <c r="E5" t="s">
        <v>6</v>
      </c>
      <c r="F5" t="e" vm="3">
        <v>#VALUE!</v>
      </c>
    </row>
    <row r="6" spans="5:6" ht="25.5" customHeight="1">
      <c r="E6" t="s">
        <v>13</v>
      </c>
      <c r="F6" t="e" vm="4">
        <v>#VALUE!</v>
      </c>
    </row>
    <row r="7" spans="5:6" ht="25.5" customHeight="1">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Customer care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Vishal Pathak</cp:lastModifiedBy>
  <dcterms:created xsi:type="dcterms:W3CDTF">2021-03-14T20:21:32Z</dcterms:created>
  <dcterms:modified xsi:type="dcterms:W3CDTF">2025-08-01T15:19:20Z</dcterms:modified>
</cp:coreProperties>
</file>